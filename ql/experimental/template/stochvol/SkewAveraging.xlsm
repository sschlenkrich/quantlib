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600" yWindow="30" windowWidth="12720" windowHeight="8265" activeTab="1"/>
  </bookViews>
  <sheets>
    <sheet name="Version0" sheetId="1" r:id="rId1"/>
    <sheet name="Version1" sheetId="4" r:id="rId2"/>
    <sheet name="Tabelle2" sheetId="2" r:id="rId3"/>
    <sheet name="Tabelle3" sheetId="3" r:id="rId4"/>
  </sheets>
  <functionGroups builtInGroupCount="17"/>
  <calcPr calcId="145621" iterateDelta="9.9999999999999995E-7"/>
</workbook>
</file>

<file path=xl/calcChain.xml><?xml version="1.0" encoding="utf-8"?>
<calcChain xmlns="http://schemas.openxmlformats.org/spreadsheetml/2006/main">
  <c r="R8" i="4" l="1"/>
  <c r="T8" i="4"/>
  <c r="S14" i="4"/>
  <c r="S9" i="4"/>
  <c r="P9" i="4"/>
  <c r="P8" i="4"/>
  <c r="M17" i="4"/>
  <c r="S17" i="4" s="1"/>
  <c r="M16" i="4"/>
  <c r="S16" i="4" s="1"/>
  <c r="M15" i="4"/>
  <c r="S15" i="4" s="1"/>
  <c r="M14" i="4"/>
  <c r="X14" i="4" s="1"/>
  <c r="M13" i="4"/>
  <c r="S13" i="4" s="1"/>
  <c r="M12" i="4"/>
  <c r="S12" i="4" s="1"/>
  <c r="M11" i="4"/>
  <c r="S11" i="4" s="1"/>
  <c r="M10" i="4"/>
  <c r="X10" i="4" s="1"/>
  <c r="M9" i="4"/>
  <c r="M8" i="4"/>
  <c r="Q8" i="4" s="1"/>
  <c r="Z21" i="4"/>
  <c r="Z22" i="4" s="1"/>
  <c r="K17" i="4"/>
  <c r="G17" i="4"/>
  <c r="H16" i="4" s="1"/>
  <c r="K16" i="4"/>
  <c r="G16" i="4"/>
  <c r="K15" i="4"/>
  <c r="G15" i="4"/>
  <c r="K14" i="4"/>
  <c r="G14" i="4"/>
  <c r="X13" i="4"/>
  <c r="K13" i="4"/>
  <c r="G13" i="4"/>
  <c r="K12" i="4"/>
  <c r="G12" i="4"/>
  <c r="K11" i="4"/>
  <c r="G11" i="4"/>
  <c r="K10" i="4"/>
  <c r="G10" i="4"/>
  <c r="X9" i="4"/>
  <c r="K9" i="4"/>
  <c r="G9" i="4"/>
  <c r="AA8" i="4"/>
  <c r="AA9" i="4" s="1"/>
  <c r="AA10" i="4" s="1"/>
  <c r="AA11" i="4" s="1"/>
  <c r="AA12" i="4" s="1"/>
  <c r="AA13" i="4" s="1"/>
  <c r="AA14" i="4" s="1"/>
  <c r="AA15" i="4" s="1"/>
  <c r="AA16" i="4" s="1"/>
  <c r="AA17" i="4" s="1"/>
  <c r="L8" i="4"/>
  <c r="K8" i="4"/>
  <c r="L10" i="4" s="1"/>
  <c r="G8" i="4"/>
  <c r="X7" i="4"/>
  <c r="Z22" i="1"/>
  <c r="Z21" i="1"/>
  <c r="AA8" i="1"/>
  <c r="AA9" i="1" s="1"/>
  <c r="AA10" i="1" s="1"/>
  <c r="AA11" i="1" s="1"/>
  <c r="AA12" i="1" s="1"/>
  <c r="AA13" i="1" s="1"/>
  <c r="AA14" i="1" s="1"/>
  <c r="AA15" i="1" s="1"/>
  <c r="AA16" i="1" s="1"/>
  <c r="AA17" i="1" s="1"/>
  <c r="AB17" i="1" s="1"/>
  <c r="M8" i="1"/>
  <c r="X8" i="1" s="1"/>
  <c r="M9" i="1"/>
  <c r="X9" i="1" s="1"/>
  <c r="M10" i="1"/>
  <c r="X10" i="1" s="1"/>
  <c r="M11" i="1"/>
  <c r="X11" i="1" s="1"/>
  <c r="M12" i="1"/>
  <c r="X12" i="1" s="1"/>
  <c r="M13" i="1"/>
  <c r="X13" i="1" s="1"/>
  <c r="M14" i="1"/>
  <c r="X14" i="1" s="1"/>
  <c r="M15" i="1"/>
  <c r="X15" i="1" s="1"/>
  <c r="M16" i="1"/>
  <c r="M17" i="1"/>
  <c r="X17" i="1" s="1"/>
  <c r="M7" i="1"/>
  <c r="L8" i="1"/>
  <c r="K9" i="1"/>
  <c r="K10" i="1"/>
  <c r="K11" i="1"/>
  <c r="K12" i="1"/>
  <c r="K13" i="1"/>
  <c r="K14" i="1"/>
  <c r="K15" i="1"/>
  <c r="K16" i="1"/>
  <c r="K17" i="1"/>
  <c r="K8" i="1"/>
  <c r="L9" i="1" s="1"/>
  <c r="G11" i="1"/>
  <c r="G10" i="1"/>
  <c r="G9" i="1"/>
  <c r="G8" i="1"/>
  <c r="G16" i="1"/>
  <c r="G15" i="1"/>
  <c r="G14" i="1"/>
  <c r="G13" i="1"/>
  <c r="G12" i="1"/>
  <c r="G17" i="1"/>
  <c r="H16" i="1" s="1"/>
  <c r="G24" i="4"/>
  <c r="G23" i="4"/>
  <c r="G21" i="4"/>
  <c r="G22" i="4"/>
  <c r="AH8" i="1"/>
  <c r="G24" i="1"/>
  <c r="G22" i="1"/>
  <c r="G21" i="1"/>
  <c r="G23" i="1"/>
  <c r="AI8" i="1"/>
  <c r="R8" i="1" l="1"/>
  <c r="X17" i="4"/>
  <c r="X16" i="4"/>
  <c r="X12" i="4"/>
  <c r="P10" i="4"/>
  <c r="P11" i="4" s="1"/>
  <c r="P12" i="4" s="1"/>
  <c r="P13" i="4" s="1"/>
  <c r="P14" i="4" s="1"/>
  <c r="P15" i="4" s="1"/>
  <c r="P16" i="4" s="1"/>
  <c r="P17" i="4" s="1"/>
  <c r="S10" i="4"/>
  <c r="Q20" i="1"/>
  <c r="P20" i="1"/>
  <c r="O20" i="1"/>
  <c r="Q9" i="4"/>
  <c r="R10" i="4" s="1"/>
  <c r="R9" i="4"/>
  <c r="X15" i="4"/>
  <c r="Y15" i="4" s="1"/>
  <c r="S8" i="4"/>
  <c r="O8" i="4"/>
  <c r="U8" i="4"/>
  <c r="L15" i="4"/>
  <c r="Y13" i="4"/>
  <c r="X8" i="4"/>
  <c r="Y9" i="4" s="1"/>
  <c r="AA19" i="4"/>
  <c r="AB17" i="4"/>
  <c r="Y14" i="4"/>
  <c r="X11" i="4"/>
  <c r="Y11" i="4" s="1"/>
  <c r="Y10" i="4"/>
  <c r="L11" i="4"/>
  <c r="L16" i="4"/>
  <c r="L17" i="4"/>
  <c r="L14" i="4"/>
  <c r="L12" i="4"/>
  <c r="L9" i="4"/>
  <c r="L13" i="4"/>
  <c r="I17" i="4"/>
  <c r="H15" i="4"/>
  <c r="H14" i="4" s="1"/>
  <c r="H13" i="4" s="1"/>
  <c r="AA19" i="1"/>
  <c r="Y10" i="1"/>
  <c r="Y15" i="1"/>
  <c r="Y13" i="1"/>
  <c r="Y11" i="1"/>
  <c r="Y9" i="1"/>
  <c r="Y14" i="1"/>
  <c r="Y12" i="1"/>
  <c r="N17" i="1"/>
  <c r="S17" i="1" s="1"/>
  <c r="X7" i="1"/>
  <c r="Y8" i="1" s="1"/>
  <c r="N11" i="1"/>
  <c r="S11" i="1" s="1"/>
  <c r="N13" i="1"/>
  <c r="S13" i="1" s="1"/>
  <c r="N15" i="1"/>
  <c r="S15" i="1" s="1"/>
  <c r="X16" i="1"/>
  <c r="Y16" i="1" s="1"/>
  <c r="L10" i="1"/>
  <c r="L17" i="1"/>
  <c r="L15" i="1"/>
  <c r="L13" i="1"/>
  <c r="L11" i="1"/>
  <c r="L16" i="1"/>
  <c r="L14" i="1"/>
  <c r="L12" i="1"/>
  <c r="T8" i="1"/>
  <c r="N16" i="1"/>
  <c r="S16" i="1" s="1"/>
  <c r="N14" i="1"/>
  <c r="S14" i="1" s="1"/>
  <c r="N12" i="1"/>
  <c r="S12" i="1" s="1"/>
  <c r="N10" i="1"/>
  <c r="S10" i="1" s="1"/>
  <c r="O8" i="1"/>
  <c r="O21" i="1" s="1"/>
  <c r="N9" i="1"/>
  <c r="S9" i="1" s="1"/>
  <c r="N8" i="1"/>
  <c r="S8" i="1" s="1"/>
  <c r="I17" i="1"/>
  <c r="H15" i="1"/>
  <c r="AI9" i="1"/>
  <c r="AH9" i="1"/>
  <c r="Y17" i="4" l="1"/>
  <c r="Y16" i="4"/>
  <c r="O9" i="4"/>
  <c r="Q10" i="4" s="1"/>
  <c r="T9" i="4"/>
  <c r="W8" i="4"/>
  <c r="Y8" i="4"/>
  <c r="Y12" i="4"/>
  <c r="H12" i="4"/>
  <c r="I14" i="4"/>
  <c r="I15" i="4"/>
  <c r="I16" i="4"/>
  <c r="AC17" i="4"/>
  <c r="W8" i="1"/>
  <c r="Z8" i="1" s="1"/>
  <c r="Y17" i="1"/>
  <c r="U8" i="1"/>
  <c r="T9" i="1"/>
  <c r="O9" i="1"/>
  <c r="O22" i="1" s="1"/>
  <c r="P8" i="1"/>
  <c r="P21" i="1" s="1"/>
  <c r="Q8" i="1"/>
  <c r="I16" i="1"/>
  <c r="H14" i="1"/>
  <c r="AD17" i="4"/>
  <c r="AE17" i="4"/>
  <c r="AI8" i="4"/>
  <c r="AH8" i="4"/>
  <c r="AI9" i="4"/>
  <c r="AI10" i="4" s="1"/>
  <c r="AI10" i="1"/>
  <c r="AH10" i="1"/>
  <c r="Q9" i="1" l="1"/>
  <c r="Q21" i="1"/>
  <c r="O10" i="4"/>
  <c r="Q11" i="4" s="1"/>
  <c r="R12" i="4" s="1"/>
  <c r="T10" i="4"/>
  <c r="R11" i="4"/>
  <c r="Z8" i="4"/>
  <c r="W9" i="4"/>
  <c r="Z9" i="4" s="1"/>
  <c r="H11" i="4"/>
  <c r="I12" i="4" s="1"/>
  <c r="U9" i="4"/>
  <c r="I13" i="4"/>
  <c r="T10" i="1"/>
  <c r="O10" i="1"/>
  <c r="R9" i="1"/>
  <c r="P9" i="1"/>
  <c r="P22" i="1" s="1"/>
  <c r="H13" i="1"/>
  <c r="I14" i="1" s="1"/>
  <c r="I15" i="1"/>
  <c r="AI11" i="4"/>
  <c r="AH9" i="4"/>
  <c r="AG17" i="4"/>
  <c r="AF17" i="4"/>
  <c r="AI11" i="1"/>
  <c r="AH11" i="1"/>
  <c r="Q10" i="1" l="1"/>
  <c r="Q23" i="1" s="1"/>
  <c r="Q22" i="1"/>
  <c r="O23" i="1"/>
  <c r="O11" i="4"/>
  <c r="T11" i="4"/>
  <c r="H10" i="4"/>
  <c r="I11" i="4" s="1"/>
  <c r="W10" i="4"/>
  <c r="Z10" i="4" s="1"/>
  <c r="U10" i="4"/>
  <c r="U9" i="1"/>
  <c r="W9" i="1"/>
  <c r="P10" i="1"/>
  <c r="P23" i="1" s="1"/>
  <c r="R10" i="1"/>
  <c r="O11" i="1"/>
  <c r="O24" i="1" s="1"/>
  <c r="T11" i="1"/>
  <c r="H12" i="1"/>
  <c r="I13" i="1" s="1"/>
  <c r="AI12" i="4"/>
  <c r="AH10" i="4"/>
  <c r="AI12" i="1"/>
  <c r="AH12" i="1"/>
  <c r="Q11" i="1" l="1"/>
  <c r="Q24" i="1" s="1"/>
  <c r="O12" i="4"/>
  <c r="T12" i="4"/>
  <c r="Q12" i="4"/>
  <c r="W11" i="4"/>
  <c r="Z11" i="4" s="1"/>
  <c r="U11" i="4"/>
  <c r="H9" i="4"/>
  <c r="Z9" i="1"/>
  <c r="U10" i="1"/>
  <c r="W10" i="1"/>
  <c r="Z10" i="1" s="1"/>
  <c r="O12" i="1"/>
  <c r="O25" i="1" s="1"/>
  <c r="T12" i="1"/>
  <c r="Q12" i="1"/>
  <c r="P11" i="1"/>
  <c r="P24" i="1" s="1"/>
  <c r="R11" i="1"/>
  <c r="H11" i="1"/>
  <c r="I12" i="1" s="1"/>
  <c r="AH11" i="4"/>
  <c r="AI13" i="4"/>
  <c r="AI13" i="1"/>
  <c r="AH13" i="1"/>
  <c r="Q13" i="1" l="1"/>
  <c r="Q26" i="1" s="1"/>
  <c r="Q25" i="1"/>
  <c r="Q13" i="4"/>
  <c r="R13" i="4"/>
  <c r="O13" i="4"/>
  <c r="T13" i="4"/>
  <c r="H8" i="4"/>
  <c r="I10" i="4"/>
  <c r="W12" i="4"/>
  <c r="Z12" i="4" s="1"/>
  <c r="U12" i="4"/>
  <c r="U11" i="1"/>
  <c r="W11" i="1"/>
  <c r="Z11" i="1" s="1"/>
  <c r="R12" i="1"/>
  <c r="P12" i="1"/>
  <c r="P25" i="1" s="1"/>
  <c r="O13" i="1"/>
  <c r="T13" i="1"/>
  <c r="H10" i="1"/>
  <c r="AH12" i="4"/>
  <c r="AI14" i="4"/>
  <c r="AI14" i="1"/>
  <c r="AH14" i="1"/>
  <c r="Q14" i="1" l="1"/>
  <c r="Q27" i="1" s="1"/>
  <c r="O26" i="1"/>
  <c r="O14" i="4"/>
  <c r="T14" i="4"/>
  <c r="Q14" i="4"/>
  <c r="R14" i="4"/>
  <c r="H7" i="4"/>
  <c r="I8" i="4" s="1"/>
  <c r="W13" i="4"/>
  <c r="Z13" i="4" s="1"/>
  <c r="U13" i="4"/>
  <c r="I9" i="4"/>
  <c r="U12" i="1"/>
  <c r="W12" i="1"/>
  <c r="Z12" i="1" s="1"/>
  <c r="P13" i="1"/>
  <c r="P26" i="1" s="1"/>
  <c r="R13" i="1"/>
  <c r="O14" i="1"/>
  <c r="O27" i="1" s="1"/>
  <c r="T14" i="1"/>
  <c r="Q15" i="1"/>
  <c r="Q28" i="1" s="1"/>
  <c r="H9" i="1"/>
  <c r="I11" i="1"/>
  <c r="AI15" i="4"/>
  <c r="AH13" i="4"/>
  <c r="AI15" i="1"/>
  <c r="AH15" i="1"/>
  <c r="Q15" i="4" l="1"/>
  <c r="R15" i="4"/>
  <c r="O15" i="4"/>
  <c r="T15" i="4"/>
  <c r="J8" i="4"/>
  <c r="J17" i="4"/>
  <c r="J15" i="4"/>
  <c r="J14" i="4"/>
  <c r="J16" i="4"/>
  <c r="J12" i="4"/>
  <c r="J13" i="4"/>
  <c r="J11" i="4"/>
  <c r="J9" i="4"/>
  <c r="W14" i="4"/>
  <c r="Z14" i="4" s="1"/>
  <c r="U14" i="4"/>
  <c r="J10" i="4"/>
  <c r="U13" i="1"/>
  <c r="W13" i="1"/>
  <c r="Z13" i="1" s="1"/>
  <c r="O15" i="1"/>
  <c r="O28" i="1" s="1"/>
  <c r="T15" i="1"/>
  <c r="R14" i="1"/>
  <c r="P14" i="1"/>
  <c r="P27" i="1" s="1"/>
  <c r="Q16" i="1"/>
  <c r="Q29" i="1" s="1"/>
  <c r="H8" i="1"/>
  <c r="I10" i="1"/>
  <c r="AH14" i="4"/>
  <c r="AI16" i="4"/>
  <c r="AI16" i="1"/>
  <c r="AH16" i="1"/>
  <c r="Q16" i="4" l="1"/>
  <c r="R16" i="4"/>
  <c r="O16" i="4"/>
  <c r="T16" i="4"/>
  <c r="W15" i="4"/>
  <c r="Z15" i="4" s="1"/>
  <c r="U15" i="4"/>
  <c r="U14" i="1"/>
  <c r="W14" i="1"/>
  <c r="Z14" i="1" s="1"/>
  <c r="O16" i="1"/>
  <c r="T16" i="1"/>
  <c r="R15" i="1"/>
  <c r="P15" i="1"/>
  <c r="P28" i="1" s="1"/>
  <c r="H7" i="1"/>
  <c r="I8" i="1" s="1"/>
  <c r="I9" i="1"/>
  <c r="AI17" i="4"/>
  <c r="AH15" i="4"/>
  <c r="AI17" i="1"/>
  <c r="AH17" i="1"/>
  <c r="Q17" i="1" l="1"/>
  <c r="Q30" i="1" s="1"/>
  <c r="O29" i="1"/>
  <c r="Q17" i="4"/>
  <c r="R17" i="4"/>
  <c r="O17" i="4"/>
  <c r="T17" i="4"/>
  <c r="W16" i="4"/>
  <c r="Z16" i="4" s="1"/>
  <c r="U16" i="4"/>
  <c r="U15" i="1"/>
  <c r="W15" i="1"/>
  <c r="Z15" i="1" s="1"/>
  <c r="R16" i="1"/>
  <c r="P16" i="1"/>
  <c r="P29" i="1" s="1"/>
  <c r="O17" i="1"/>
  <c r="O30" i="1" s="1"/>
  <c r="T17" i="1"/>
  <c r="J8" i="1"/>
  <c r="J17" i="1"/>
  <c r="J16" i="1"/>
  <c r="J14" i="1"/>
  <c r="J15" i="1"/>
  <c r="J13" i="1"/>
  <c r="J12" i="1"/>
  <c r="J11" i="1"/>
  <c r="J9" i="1"/>
  <c r="J10" i="1"/>
  <c r="AH16" i="4"/>
  <c r="W17" i="4" l="1"/>
  <c r="Z17" i="4" s="1"/>
  <c r="U17" i="4"/>
  <c r="U16" i="1"/>
  <c r="W16" i="1"/>
  <c r="Z16" i="1" s="1"/>
  <c r="P17" i="1"/>
  <c r="P30" i="1" s="1"/>
  <c r="R17" i="1"/>
  <c r="AH17" i="4"/>
  <c r="AC20" i="4" l="1"/>
  <c r="V17" i="4"/>
  <c r="V8" i="4"/>
  <c r="V10" i="4"/>
  <c r="V16" i="4"/>
  <c r="V12" i="4"/>
  <c r="V11" i="4"/>
  <c r="V9" i="4"/>
  <c r="V13" i="4"/>
  <c r="V14" i="4"/>
  <c r="V15" i="4"/>
  <c r="U17" i="1"/>
  <c r="V12" i="1" s="1"/>
  <c r="W17" i="1"/>
  <c r="Z17" i="1" s="1"/>
  <c r="AC17" i="1"/>
  <c r="AE17" i="1"/>
  <c r="AG17" i="1"/>
  <c r="AD17" i="1"/>
  <c r="AF17" i="1"/>
  <c r="V15" i="1" l="1"/>
  <c r="V8" i="1"/>
  <c r="V11" i="1"/>
  <c r="V17" i="1"/>
  <c r="V16" i="1"/>
  <c r="V9" i="1"/>
  <c r="V14" i="1"/>
  <c r="V13" i="1"/>
  <c r="V10" i="1"/>
  <c r="AC20" i="1"/>
</calcChain>
</file>

<file path=xl/comments1.xml><?xml version="1.0" encoding="utf-8"?>
<comments xmlns="http://schemas.openxmlformats.org/spreadsheetml/2006/main">
  <authors>
    <author>Sebastian</author>
  </authors>
  <commentList>
    <comment ref="AB6" authorId="0">
      <text>
        <r>
          <rPr>
            <sz val="8"/>
            <color indexed="81"/>
            <rFont val="Tahoma"/>
            <family val="2"/>
          </rPr>
          <t>… = -(b*b/4 + 1/x)/2</t>
        </r>
      </text>
    </comment>
  </commentList>
</comments>
</file>

<file path=xl/comments2.xml><?xml version="1.0" encoding="utf-8"?>
<comments xmlns="http://schemas.openxmlformats.org/spreadsheetml/2006/main">
  <authors>
    <author>Sebastian</author>
  </authors>
  <commentList>
    <comment ref="AB6" authorId="0">
      <text>
        <r>
          <rPr>
            <sz val="8"/>
            <color indexed="81"/>
            <rFont val="Tahoma"/>
            <family val="2"/>
          </rPr>
          <t>… = -(b*b/4 + 1/x)/2</t>
        </r>
      </text>
    </comment>
  </commentList>
</comments>
</file>

<file path=xl/sharedStrings.xml><?xml version="1.0" encoding="utf-8"?>
<sst xmlns="http://schemas.openxmlformats.org/spreadsheetml/2006/main" count="92" uniqueCount="44">
  <si>
    <t>Theta</t>
  </si>
  <si>
    <t>T_k</t>
  </si>
  <si>
    <t>lambda_k</t>
  </si>
  <si>
    <t>f(T_k)</t>
  </si>
  <si>
    <t>e^{-Theta (T_k - T_k-1)}</t>
  </si>
  <si>
    <t>0.5 [ G(T_k) - G(T_k-1) ]</t>
  </si>
  <si>
    <t>w</t>
  </si>
  <si>
    <t>eta_k</t>
  </si>
  <si>
    <t>VoV</t>
  </si>
  <si>
    <t>b</t>
  </si>
  <si>
    <t>lambda_k^2 (T_k - T_k-1</t>
  </si>
  <si>
    <t>z0</t>
  </si>
  <si>
    <t>v_k^1</t>
  </si>
  <si>
    <t>S_1(k)</t>
  </si>
  <si>
    <t>e^{theta T_k}</t>
  </si>
  <si>
    <t>S_2(k)</t>
  </si>
  <si>
    <t>S_3(k)</t>
  </si>
  <si>
    <t>v_k^3</t>
  </si>
  <si>
    <t>1-e^{-theta(T_k-T_k-1)}</t>
  </si>
  <si>
    <t>v_k^4</t>
  </si>
  <si>
    <t>v_k^5</t>
  </si>
  <si>
    <t>lambda_k^2 v_k</t>
  </si>
  <si>
    <t>Shift b</t>
  </si>
  <si>
    <t>1-e^{-theta T_k}</t>
  </si>
  <si>
    <t>v_k^3 + v_k^4 + v_k^5</t>
  </si>
  <si>
    <t>x</t>
  </si>
  <si>
    <t>A_z</t>
  </si>
  <si>
    <t>B_z</t>
  </si>
  <si>
    <t>A_CIR(0,-1)</t>
  </si>
  <si>
    <t>B_CIR(0,-1)</t>
  </si>
  <si>
    <t>Check</t>
  </si>
  <si>
    <t>Zeta</t>
  </si>
  <si>
    <t>h''(zeta)/h'(zeta)</t>
  </si>
  <si>
    <t>v</t>
  </si>
  <si>
    <t>A_CIR</t>
  </si>
  <si>
    <t>B_CIR</t>
  </si>
  <si>
    <t>lambda</t>
  </si>
  <si>
    <t>error</t>
  </si>
  <si>
    <t>lambda0</t>
  </si>
  <si>
    <t>lambda_k^2 (T_k - T_k-1)</t>
  </si>
  <si>
    <t>e^{-theta (T_k-theta T_k-1)}</t>
  </si>
  <si>
    <t>~S_1(k)</t>
  </si>
  <si>
    <t>~S_2(k)</t>
  </si>
  <si>
    <t>~S_3(k)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</si>
</sst>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"/>
    <numFmt numFmtId="165" formatCode="0.00000"/>
    <numFmt numFmtId="166" formatCode="0.0000000"/>
    <numFmt numFmtId="167" formatCode="0.0000"/>
    <numFmt numFmtId="168" formatCode="0.000000"/>
    <numFmt numFmtId="169" formatCode="0.00000E+00"/>
    <numFmt numFmtId="170" formatCode="0.0000000E+00"/>
    <numFmt numFmtId="171" formatCode="0.000E+00"/>
    <numFmt numFmtId="173" formatCode="0.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1" applyNumberFormat="1" applyFont="1"/>
    <xf numFmtId="171" fontId="2" fillId="0" borderId="0" xfId="1" applyNumberFormat="1" applyFont="1"/>
    <xf numFmtId="171" fontId="0" fillId="0" borderId="0" xfId="0" applyNumberFormat="1"/>
    <xf numFmtId="9" fontId="2" fillId="0" borderId="0" xfId="1" applyFont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2" fillId="0" borderId="4" xfId="0" applyNumberFormat="1" applyFont="1" applyFill="1" applyBorder="1" applyAlignment="1">
      <alignment horizontal="center"/>
    </xf>
    <xf numFmtId="2" fontId="2" fillId="0" borderId="5" xfId="0" applyNumberFormat="1" applyFont="1" applyFill="1" applyBorder="1" applyAlignment="1">
      <alignment horizontal="center"/>
    </xf>
    <xf numFmtId="2" fontId="2" fillId="0" borderId="6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/>
    <xf numFmtId="173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AI30"/>
  <sheetViews>
    <sheetView topLeftCell="E10" workbookViewId="0">
      <selection activeCell="K21" sqref="K21"/>
    </sheetView>
  </sheetViews>
  <sheetFormatPr defaultColWidth="11.42578125" defaultRowHeight="15" x14ac:dyDescent="0.25"/>
  <cols>
    <col min="7" max="7" width="21.7109375" bestFit="1" customWidth="1"/>
    <col min="9" max="9" width="21.5703125" bestFit="1" customWidth="1"/>
    <col min="11" max="11" width="24" customWidth="1"/>
    <col min="13" max="13" width="13.140625" customWidth="1"/>
    <col min="14" max="14" width="21.85546875" bestFit="1" customWidth="1"/>
    <col min="15" max="15" width="13.140625" customWidth="1"/>
    <col min="19" max="19" width="14" customWidth="1"/>
    <col min="21" max="21" width="15.7109375" customWidth="1"/>
    <col min="23" max="23" width="23" customWidth="1"/>
    <col min="24" max="24" width="15.140625" bestFit="1" customWidth="1"/>
    <col min="26" max="26" width="13.85546875" customWidth="1"/>
    <col min="28" max="28" width="16.28515625" bestFit="1" customWidth="1"/>
    <col min="29" max="29" width="12.7109375" bestFit="1" customWidth="1"/>
  </cols>
  <sheetData>
    <row r="2" spans="1:35" x14ac:dyDescent="0.25">
      <c r="C2" t="s">
        <v>0</v>
      </c>
      <c r="D2">
        <v>2.2000000000000002</v>
      </c>
      <c r="F2" t="s">
        <v>25</v>
      </c>
      <c r="G2">
        <v>-0.23330000000000001</v>
      </c>
    </row>
    <row r="3" spans="1:35" x14ac:dyDescent="0.25">
      <c r="C3" t="s">
        <v>11</v>
      </c>
      <c r="D3">
        <v>3.4</v>
      </c>
    </row>
    <row r="5" spans="1:35" x14ac:dyDescent="0.25">
      <c r="G5" s="5" t="s">
        <v>8</v>
      </c>
      <c r="H5" s="6"/>
      <c r="I5" s="6"/>
      <c r="J5" s="7"/>
      <c r="K5" s="5" t="s">
        <v>22</v>
      </c>
      <c r="L5" s="6"/>
      <c r="M5" s="6"/>
      <c r="N5" s="6"/>
      <c r="O5" s="6"/>
      <c r="P5" s="6"/>
      <c r="Q5" s="6"/>
      <c r="R5" s="6"/>
      <c r="S5" s="6"/>
      <c r="T5" s="6"/>
      <c r="U5" s="6"/>
      <c r="V5" s="7"/>
      <c r="W5" s="23"/>
      <c r="X5" s="24"/>
      <c r="Y5" s="24"/>
      <c r="Z5" s="25"/>
    </row>
    <row r="6" spans="1:35" x14ac:dyDescent="0.25">
      <c r="C6" s="1" t="s">
        <v>1</v>
      </c>
      <c r="D6" s="1" t="s">
        <v>2</v>
      </c>
      <c r="E6" s="1" t="s">
        <v>7</v>
      </c>
      <c r="F6" s="1" t="s">
        <v>9</v>
      </c>
      <c r="G6" s="8" t="s">
        <v>4</v>
      </c>
      <c r="H6" s="9" t="s">
        <v>3</v>
      </c>
      <c r="I6" s="9" t="s">
        <v>5</v>
      </c>
      <c r="J6" s="10" t="s">
        <v>6</v>
      </c>
      <c r="K6" s="13" t="s">
        <v>10</v>
      </c>
      <c r="L6" s="14" t="s">
        <v>12</v>
      </c>
      <c r="M6" s="14" t="s">
        <v>14</v>
      </c>
      <c r="N6" s="14" t="s">
        <v>18</v>
      </c>
      <c r="O6" s="14" t="s">
        <v>13</v>
      </c>
      <c r="P6" s="14" t="s">
        <v>15</v>
      </c>
      <c r="Q6" s="14" t="s">
        <v>16</v>
      </c>
      <c r="R6" s="14" t="s">
        <v>17</v>
      </c>
      <c r="S6" s="14" t="s">
        <v>19</v>
      </c>
      <c r="T6" s="14" t="s">
        <v>20</v>
      </c>
      <c r="U6" s="14" t="s">
        <v>21</v>
      </c>
      <c r="V6" s="15" t="s">
        <v>6</v>
      </c>
      <c r="W6" s="26" t="s">
        <v>24</v>
      </c>
      <c r="X6" s="27" t="s">
        <v>23</v>
      </c>
      <c r="Y6" s="27" t="s">
        <v>30</v>
      </c>
      <c r="Z6" s="28" t="s">
        <v>30</v>
      </c>
      <c r="AA6" s="29" t="s">
        <v>31</v>
      </c>
      <c r="AB6" s="29" t="s">
        <v>32</v>
      </c>
      <c r="AC6" s="29" t="s">
        <v>33</v>
      </c>
      <c r="AD6" s="29" t="s">
        <v>26</v>
      </c>
      <c r="AE6" s="29" t="s">
        <v>27</v>
      </c>
      <c r="AF6" s="29" t="s">
        <v>34</v>
      </c>
      <c r="AG6" s="29" t="s">
        <v>35</v>
      </c>
      <c r="AH6" s="29" t="s">
        <v>34</v>
      </c>
      <c r="AI6" s="29" t="s">
        <v>35</v>
      </c>
    </row>
    <row r="7" spans="1:35" x14ac:dyDescent="0.25">
      <c r="A7">
        <v>0</v>
      </c>
      <c r="B7">
        <v>0</v>
      </c>
      <c r="C7">
        <v>0</v>
      </c>
      <c r="H7" s="3">
        <f t="shared" ref="H7:H15" si="0">D8^2/$D$2*(1-G8)+G8*H8</f>
        <v>6.0921970740506481E-3</v>
      </c>
      <c r="I7" s="17"/>
      <c r="K7">
        <v>0</v>
      </c>
      <c r="M7">
        <f>EXP($D$2*C7)</f>
        <v>1</v>
      </c>
      <c r="O7">
        <v>0</v>
      </c>
      <c r="P7">
        <v>0</v>
      </c>
      <c r="Q7">
        <v>0</v>
      </c>
      <c r="U7" s="18"/>
      <c r="X7">
        <f>1-1/M7</f>
        <v>0</v>
      </c>
      <c r="AA7">
        <v>0</v>
      </c>
      <c r="AB7" s="21"/>
      <c r="AH7">
        <v>0</v>
      </c>
      <c r="AI7">
        <v>0</v>
      </c>
    </row>
    <row r="8" spans="1:35" x14ac:dyDescent="0.25">
      <c r="A8">
        <v>1</v>
      </c>
      <c r="B8">
        <v>1</v>
      </c>
      <c r="C8">
        <v>1</v>
      </c>
      <c r="D8">
        <v>0.1</v>
      </c>
      <c r="E8">
        <v>0.8</v>
      </c>
      <c r="F8">
        <v>0.1</v>
      </c>
      <c r="G8" s="2">
        <f t="shared" ref="G8:G11" si="1">EXP(-$D$2*(C8-C7))</f>
        <v>0.11080315836233387</v>
      </c>
      <c r="H8" s="3">
        <f t="shared" si="0"/>
        <v>1.8504826746183239E-2</v>
      </c>
      <c r="I8" s="4">
        <f t="shared" ref="I8:I17" si="2">0.5*(1/2/$D$2*(H8^2-H7^2)+D8^2/$D$2^2*(H8-H7)+D8^4/$D$2^2*(C8-C7))</f>
        <v>5.7848287108495038E-5</v>
      </c>
      <c r="J8" s="22">
        <f>I8/SUM($I$8:$I$17)</f>
        <v>1.603740997233344E-4</v>
      </c>
      <c r="K8">
        <f>D8*D8*(C8-C7)</f>
        <v>1.0000000000000002E-2</v>
      </c>
      <c r="L8">
        <f>$D$3^2*(D8^2/2*(C8-C7)^2+(C8-C7)*SUM(K$7:K7))</f>
        <v>5.7800000000000004E-2</v>
      </c>
      <c r="M8" s="12">
        <f t="shared" ref="M8:M17" si="3">EXP($D$2*C8)</f>
        <v>9.025013499434122</v>
      </c>
      <c r="N8" s="12">
        <f>1-M7/M8</f>
        <v>0.8891968416376661</v>
      </c>
      <c r="O8" s="2">
        <f t="shared" ref="O8:O17" si="4">O7+E8^2/2/$D$2*(M8^2-M7^2)</f>
        <v>11.701944533086277</v>
      </c>
      <c r="P8" s="3">
        <f t="shared" ref="P8:P17" si="5">P7+D8^2*E8^2/2/$D$2^2*M8*N8^2</f>
        <v>4.7178953109398066E-3</v>
      </c>
      <c r="Q8" s="3">
        <f t="shared" ref="Q8:Q17" si="6">Q7+D8^2*O7/$D$2/M7*N8</f>
        <v>0</v>
      </c>
      <c r="R8" s="4">
        <f>$D$3/$D$2*(P7+Q7)*(1/M7-1/M8)</f>
        <v>0</v>
      </c>
      <c r="S8" s="11">
        <f>$D$3*D8^2*E8^2/2/$D$2^2*(C8-C7-1/$D$2*N8-1/2/$D$2*N8^2)</f>
        <v>9.354139741633823E-4</v>
      </c>
      <c r="T8" s="16">
        <f t="shared" ref="T8:T17" si="7">$D$3*D8^2*O7/2/$D$2^2*(1/M8-1/M7)^2</f>
        <v>0</v>
      </c>
      <c r="U8" s="11">
        <f t="shared" ref="U8:U17" si="8">D8^2*(L8+R8+S8+T8)</f>
        <v>5.8735413974163396E-4</v>
      </c>
      <c r="V8" s="22">
        <f>U8/SUM($U$8:$U$17)</f>
        <v>3.166686319867876E-6</v>
      </c>
      <c r="W8" s="19">
        <f>R8+S8+T8</f>
        <v>9.354139741633823E-4</v>
      </c>
      <c r="X8">
        <f>1-1/M8</f>
        <v>0.8891968416376661</v>
      </c>
      <c r="Y8" s="19">
        <f>$D$3*E8^2*D8^2/2/$D$2^2*((C8-C7)-(X8-X7)/$D$2-(X8^2-X7^2)/2/$D$2)</f>
        <v>9.354139741633823E-4</v>
      </c>
      <c r="Z8" s="17">
        <f>Y8-W8</f>
        <v>0</v>
      </c>
      <c r="AA8">
        <f>AA7+$D$3*D8^2*(C8-C7)</f>
        <v>3.4000000000000002E-2</v>
      </c>
      <c r="AH8">
        <f>AH7+A_CIR(AI7,-$AB$17*D8^2,C8-C7,$D$3,$D$2,$E$17)</f>
        <v>-5.5166380010973626E-4</v>
      </c>
      <c r="AI8">
        <f>b_CIR(AI7,-$AB$17*D8^2,C8-C7,$D$3,$D$2,$E$17)</f>
        <v>1.1006656695807015E-4</v>
      </c>
    </row>
    <row r="9" spans="1:35" x14ac:dyDescent="0.25">
      <c r="A9">
        <v>2</v>
      </c>
      <c r="B9">
        <v>4</v>
      </c>
      <c r="C9">
        <v>3</v>
      </c>
      <c r="D9">
        <v>0.2</v>
      </c>
      <c r="E9">
        <v>0.76</v>
      </c>
      <c r="F9">
        <v>0.1</v>
      </c>
      <c r="G9" s="2">
        <f t="shared" si="1"/>
        <v>1.2277339903068436E-2</v>
      </c>
      <c r="H9" s="3">
        <f t="shared" si="0"/>
        <v>4.4491146335576368E-2</v>
      </c>
      <c r="I9" s="4">
        <f t="shared" si="2"/>
        <v>6.2398653118366518E-4</v>
      </c>
      <c r="J9" s="22">
        <f t="shared" ref="J9:J17" si="9">I9/SUM($I$8:$I$17)</f>
        <v>1.7298918114961978E-3</v>
      </c>
      <c r="K9">
        <f t="shared" ref="K9:K17" si="10">D9*D9*(C9-C8)</f>
        <v>8.0000000000000016E-2</v>
      </c>
      <c r="L9">
        <f>$D$3^2*(D9^2/2*(C9-C8)^2+(C9-C8)*SUM(K$7:K8))</f>
        <v>1.1560000000000001</v>
      </c>
      <c r="M9" s="12">
        <f t="shared" si="3"/>
        <v>735.09518924197323</v>
      </c>
      <c r="N9" s="12">
        <f t="shared" ref="N9:N17" si="11">1-M8/M9</f>
        <v>0.98772266009693155</v>
      </c>
      <c r="O9" s="2">
        <f t="shared" si="4"/>
        <v>70936.188701794134</v>
      </c>
      <c r="P9" s="3">
        <f t="shared" si="5"/>
        <v>1.7164091581865082</v>
      </c>
      <c r="Q9" s="3">
        <f t="shared" si="6"/>
        <v>2.3285335671397039E-2</v>
      </c>
      <c r="R9" s="4">
        <f t="shared" ref="R9:R17" si="12">$D$3/$D$2*(P8+Q8)*(1/M8-1/M9)</f>
        <v>7.9797942399282662E-4</v>
      </c>
      <c r="S9" s="11">
        <f t="shared" ref="S9:S17" si="13">$D$3*D9^2*E9^2/2/$D$2^2*(C9-C8-1/$D$2*N9-1/2/$D$2*N9^2)</f>
        <v>1.0787395669739642E-2</v>
      </c>
      <c r="T9" s="16">
        <f t="shared" si="7"/>
        <v>1.9692275391799273E-3</v>
      </c>
      <c r="U9" s="11">
        <f t="shared" si="8"/>
        <v>4.678218410531651E-2</v>
      </c>
      <c r="V9" s="22">
        <f t="shared" ref="V9:V17" si="14">U9/SUM($U$8:$U$17)</f>
        <v>2.5222347540618706E-4</v>
      </c>
      <c r="W9" s="20">
        <f t="shared" ref="W9:W17" si="15">R9+S9+T9</f>
        <v>1.3554602632912395E-2</v>
      </c>
      <c r="X9">
        <f t="shared" ref="X9:X17" si="16">1-1/M9</f>
        <v>0.99863963196245209</v>
      </c>
      <c r="Y9" s="19">
        <f t="shared" ref="Y9:Y17" si="17">$D$3*E9^2*D9^2/2/$D$2^2*((C9-C8)-(X9-X8)/$D$2-(X9^2-X8^2)/2/$D$2)</f>
        <v>1.5445329244463634E-2</v>
      </c>
      <c r="Z9" s="17">
        <f t="shared" ref="Z9:Z17" si="18">Y9-W9</f>
        <v>1.890726611551239E-3</v>
      </c>
      <c r="AA9">
        <f t="shared" ref="AA9:AA17" si="19">AA8+$D$3*D9^2*(C9-C8)</f>
        <v>0.30600000000000005</v>
      </c>
      <c r="AH9">
        <f t="shared" ref="AH9:AH16" si="20">AH8+A_CIR(AI8,-$AB$17*D9^2,C9-C8,$D$3,$D$2,$E$17)</f>
        <v>-6.6655784914075866E-3</v>
      </c>
      <c r="AI9">
        <f t="shared" ref="AI9:AI17" si="21">b_CIR(AI8,-$AB$17*D9^2,C9-C8,$D$3,$D$2,$E$17)</f>
        <v>4.9039215705190802E-4</v>
      </c>
    </row>
    <row r="10" spans="1:35" x14ac:dyDescent="0.25">
      <c r="A10">
        <v>3</v>
      </c>
      <c r="B10">
        <v>6.5</v>
      </c>
      <c r="C10">
        <v>4</v>
      </c>
      <c r="D10">
        <v>0.3</v>
      </c>
      <c r="E10">
        <v>0.72</v>
      </c>
      <c r="F10">
        <v>0.1</v>
      </c>
      <c r="G10" s="2">
        <f t="shared" si="1"/>
        <v>0.11080315836233387</v>
      </c>
      <c r="H10" s="3">
        <f t="shared" si="0"/>
        <v>7.3237189488843529E-2</v>
      </c>
      <c r="I10" s="4">
        <f t="shared" si="2"/>
        <v>1.4886146785084973E-3</v>
      </c>
      <c r="J10" s="22">
        <f t="shared" si="9"/>
        <v>4.1269197556876806E-3</v>
      </c>
      <c r="K10">
        <f t="shared" si="10"/>
        <v>0.09</v>
      </c>
      <c r="L10">
        <f>$D$3^2*(D10^2/2*(C10-C9)^2+(C10-C9)*SUM(K$7:K9))</f>
        <v>1.5606</v>
      </c>
      <c r="M10" s="12">
        <f t="shared" si="3"/>
        <v>6634.2440062778896</v>
      </c>
      <c r="N10" s="12">
        <f t="shared" si="11"/>
        <v>0.8891968416376661</v>
      </c>
      <c r="O10" s="2">
        <f t="shared" si="4"/>
        <v>5192825.8125630012</v>
      </c>
      <c r="P10" s="3">
        <f t="shared" si="5"/>
        <v>26.998873805581848</v>
      </c>
      <c r="Q10" s="3">
        <f t="shared" si="6"/>
        <v>3.5335673611773526</v>
      </c>
      <c r="R10" s="4">
        <f t="shared" si="12"/>
        <v>3.252247256714563E-3</v>
      </c>
      <c r="S10" s="11">
        <f t="shared" si="13"/>
        <v>6.8191678716510544E-3</v>
      </c>
      <c r="T10" s="16">
        <f t="shared" si="7"/>
        <v>3.2811235329111318E-3</v>
      </c>
      <c r="U10" s="11">
        <f t="shared" si="8"/>
        <v>0.14165572847951491</v>
      </c>
      <c r="V10" s="22">
        <f t="shared" si="14"/>
        <v>7.6372877478027095E-4</v>
      </c>
      <c r="W10" s="19">
        <f t="shared" si="15"/>
        <v>1.3352538661276749E-2</v>
      </c>
      <c r="X10">
        <f t="shared" si="16"/>
        <v>0.9998492669249045</v>
      </c>
      <c r="Y10" s="19">
        <f t="shared" si="17"/>
        <v>1.6369424080711428E-2</v>
      </c>
      <c r="Z10" s="17">
        <f t="shared" si="18"/>
        <v>3.0168854194346784E-3</v>
      </c>
      <c r="AA10">
        <f t="shared" si="19"/>
        <v>0.6120000000000001</v>
      </c>
      <c r="AH10">
        <f t="shared" si="20"/>
        <v>-1.3113016592228632E-2</v>
      </c>
      <c r="AI10">
        <f t="shared" si="21"/>
        <v>1.0449037998339953E-3</v>
      </c>
    </row>
    <row r="11" spans="1:35" x14ac:dyDescent="0.25">
      <c r="A11">
        <v>4</v>
      </c>
      <c r="B11">
        <v>7</v>
      </c>
      <c r="C11">
        <v>6</v>
      </c>
      <c r="D11">
        <v>0.4</v>
      </c>
      <c r="E11">
        <v>0.68</v>
      </c>
      <c r="F11">
        <v>0.1</v>
      </c>
      <c r="G11" s="2">
        <f t="shared" si="1"/>
        <v>1.2277339903068436E-2</v>
      </c>
      <c r="H11" s="3">
        <f t="shared" si="0"/>
        <v>0.11426043590404103</v>
      </c>
      <c r="I11" s="4">
        <f t="shared" si="2"/>
        <v>6.84139016984132E-3</v>
      </c>
      <c r="J11" s="22">
        <f t="shared" si="9"/>
        <v>1.8966538927705778E-2</v>
      </c>
      <c r="K11">
        <f t="shared" si="10"/>
        <v>0.32000000000000006</v>
      </c>
      <c r="L11">
        <f>$D$3^2*(D11^2/2*(C11-C10)^2+(C11-C10)*SUM(K$7:K10))</f>
        <v>7.8608000000000011</v>
      </c>
      <c r="M11" s="12">
        <f t="shared" si="3"/>
        <v>540364.93724669248</v>
      </c>
      <c r="N11" s="12">
        <f t="shared" si="11"/>
        <v>0.98772266009693155</v>
      </c>
      <c r="O11" s="2">
        <f t="shared" si="4"/>
        <v>30686510240.100986</v>
      </c>
      <c r="P11" s="3">
        <f t="shared" si="5"/>
        <v>4056.2064937648465</v>
      </c>
      <c r="Q11" s="3">
        <f t="shared" si="6"/>
        <v>59.760531251739131</v>
      </c>
      <c r="R11" s="4">
        <f t="shared" si="12"/>
        <v>7.0252428523484975E-3</v>
      </c>
      <c r="S11" s="11">
        <f t="shared" si="13"/>
        <v>3.4543571729138585E-2</v>
      </c>
      <c r="T11" s="16">
        <f t="shared" si="7"/>
        <v>6.468661873841145E-3</v>
      </c>
      <c r="U11" s="11">
        <f t="shared" si="8"/>
        <v>1.265413996232853</v>
      </c>
      <c r="V11" s="22">
        <f t="shared" si="14"/>
        <v>6.8224073343598019E-3</v>
      </c>
      <c r="W11" s="19">
        <f t="shared" si="15"/>
        <v>4.8037476455328229E-2</v>
      </c>
      <c r="X11">
        <f t="shared" si="16"/>
        <v>0.99999814939880238</v>
      </c>
      <c r="Y11" s="19">
        <f t="shared" si="17"/>
        <v>5.1968714378039682E-2</v>
      </c>
      <c r="Z11" s="17">
        <f t="shared" si="18"/>
        <v>3.931237922711453E-3</v>
      </c>
      <c r="AA11">
        <f t="shared" si="19"/>
        <v>1.7000000000000002</v>
      </c>
      <c r="AH11">
        <f t="shared" si="20"/>
        <v>-3.9597986044668687E-2</v>
      </c>
      <c r="AI11">
        <f t="shared" si="21"/>
        <v>1.9688691728899127E-3</v>
      </c>
    </row>
    <row r="12" spans="1:35" x14ac:dyDescent="0.25">
      <c r="A12">
        <v>5</v>
      </c>
      <c r="B12">
        <v>7.5</v>
      </c>
      <c r="C12">
        <v>8</v>
      </c>
      <c r="D12">
        <v>0.5</v>
      </c>
      <c r="E12">
        <v>0.64</v>
      </c>
      <c r="F12">
        <v>0.1</v>
      </c>
      <c r="G12" s="2">
        <f t="shared" ref="G12:G16" si="22">EXP(-$D$2*(C12-C11))</f>
        <v>1.2277339903068436E-2</v>
      </c>
      <c r="H12" s="3">
        <f t="shared" si="0"/>
        <v>0.16446759194840446</v>
      </c>
      <c r="I12" s="4">
        <f t="shared" si="2"/>
        <v>1.5800138921306692E-2</v>
      </c>
      <c r="J12" s="22">
        <f t="shared" si="9"/>
        <v>4.3803078391167573E-2</v>
      </c>
      <c r="K12">
        <f t="shared" si="10"/>
        <v>0.5</v>
      </c>
      <c r="L12">
        <f>$D$3^2*(D12^2/2*(C12-C11)^2+(C12-C11)*SUM(K$7:K11))</f>
        <v>17.34</v>
      </c>
      <c r="M12" s="12">
        <f t="shared" si="3"/>
        <v>44013193.534834109</v>
      </c>
      <c r="N12" s="12">
        <f t="shared" si="11"/>
        <v>0.98772266009693155</v>
      </c>
      <c r="O12" s="2">
        <f t="shared" si="4"/>
        <v>180335602140260.28</v>
      </c>
      <c r="P12" s="3">
        <f t="shared" si="5"/>
        <v>458287.9859777661</v>
      </c>
      <c r="Q12" s="3">
        <f t="shared" si="6"/>
        <v>6433.7697328094564</v>
      </c>
      <c r="R12" s="4">
        <f t="shared" si="12"/>
        <v>1.1627222391946199E-2</v>
      </c>
      <c r="S12" s="11">
        <f t="shared" si="13"/>
        <v>4.7811171943444399E-2</v>
      </c>
      <c r="T12" s="16">
        <f t="shared" si="7"/>
        <v>9.0029903136219103E-3</v>
      </c>
      <c r="U12" s="11">
        <f t="shared" si="8"/>
        <v>4.3521103461622532</v>
      </c>
      <c r="V12" s="22">
        <f t="shared" si="14"/>
        <v>2.3464154524917104E-2</v>
      </c>
      <c r="W12" s="19">
        <f t="shared" si="15"/>
        <v>6.8441384649012504E-2</v>
      </c>
      <c r="X12">
        <f t="shared" si="16"/>
        <v>0.99999997727954004</v>
      </c>
      <c r="Y12" s="19">
        <f t="shared" si="17"/>
        <v>7.193382453092978E-2</v>
      </c>
      <c r="Z12" s="17">
        <f t="shared" si="18"/>
        <v>3.4924398819172753E-3</v>
      </c>
      <c r="AA12">
        <f t="shared" si="19"/>
        <v>3.4000000000000004</v>
      </c>
      <c r="AH12">
        <f t="shared" si="20"/>
        <v>-8.2108232550410776E-2</v>
      </c>
      <c r="AI12">
        <f t="shared" si="21"/>
        <v>3.0803388917684665E-3</v>
      </c>
    </row>
    <row r="13" spans="1:35" x14ac:dyDescent="0.25">
      <c r="A13">
        <v>6</v>
      </c>
      <c r="B13">
        <v>8</v>
      </c>
      <c r="C13">
        <v>10</v>
      </c>
      <c r="D13">
        <v>0.6</v>
      </c>
      <c r="E13">
        <v>0.6</v>
      </c>
      <c r="F13">
        <v>0.1</v>
      </c>
      <c r="G13" s="2">
        <f t="shared" si="22"/>
        <v>1.2277339903068436E-2</v>
      </c>
      <c r="H13" s="3">
        <f t="shared" si="0"/>
        <v>0.23134063171100705</v>
      </c>
      <c r="I13" s="4">
        <f t="shared" si="2"/>
        <v>3.2271702820412383E-2</v>
      </c>
      <c r="J13" s="22">
        <f t="shared" si="9"/>
        <v>8.9467563260012192E-2</v>
      </c>
      <c r="K13">
        <f t="shared" si="10"/>
        <v>0.72</v>
      </c>
      <c r="L13">
        <f>$D$3^2*(D13^2/2*(C13-C12)^2+(C13-C12)*SUM(K$7:K12))</f>
        <v>31.443199999999994</v>
      </c>
      <c r="M13" s="12">
        <f t="shared" si="3"/>
        <v>3584912846.1315918</v>
      </c>
      <c r="N13" s="12">
        <f t="shared" si="11"/>
        <v>0.98772266009693155</v>
      </c>
      <c r="O13" s="2">
        <f t="shared" si="4"/>
        <v>1.0515163954056635E+18</v>
      </c>
      <c r="P13" s="3">
        <f t="shared" si="5"/>
        <v>47283341.332082354</v>
      </c>
      <c r="Q13" s="3">
        <f t="shared" si="6"/>
        <v>668670.75210355083</v>
      </c>
      <c r="R13" s="4">
        <f t="shared" si="12"/>
        <v>1.6117637219322644E-2</v>
      </c>
      <c r="S13" s="11">
        <f t="shared" si="13"/>
        <v>6.0511014490921812E-2</v>
      </c>
      <c r="T13" s="16">
        <f t="shared" si="7"/>
        <v>1.1483963580261188E-2</v>
      </c>
      <c r="U13" s="11">
        <f t="shared" si="8"/>
        <v>11.35127254150458</v>
      </c>
      <c r="V13" s="22">
        <f t="shared" si="14"/>
        <v>6.1199738008293161E-2</v>
      </c>
      <c r="W13" s="19">
        <f t="shared" si="15"/>
        <v>8.8112615290505639E-2</v>
      </c>
      <c r="X13">
        <f t="shared" si="16"/>
        <v>0.99999999972105325</v>
      </c>
      <c r="Y13" s="19">
        <f t="shared" si="17"/>
        <v>9.104132138536547E-2</v>
      </c>
      <c r="Z13" s="17">
        <f t="shared" si="18"/>
        <v>2.9287060948598315E-3</v>
      </c>
      <c r="AA13">
        <f t="shared" si="19"/>
        <v>5.8480000000000008</v>
      </c>
      <c r="AH13">
        <f t="shared" si="20"/>
        <v>-0.14414353255739343</v>
      </c>
      <c r="AI13">
        <f t="shared" si="21"/>
        <v>4.4384397279270725E-3</v>
      </c>
    </row>
    <row r="14" spans="1:35" x14ac:dyDescent="0.25">
      <c r="A14">
        <v>7</v>
      </c>
      <c r="B14">
        <v>8.5</v>
      </c>
      <c r="C14">
        <v>11</v>
      </c>
      <c r="D14">
        <v>0.7</v>
      </c>
      <c r="E14">
        <v>0.56000000000000005</v>
      </c>
      <c r="F14">
        <v>0.1</v>
      </c>
      <c r="G14" s="2">
        <f t="shared" si="22"/>
        <v>0.11080315836233387</v>
      </c>
      <c r="H14" s="3">
        <f t="shared" si="0"/>
        <v>0.3004629538309474</v>
      </c>
      <c r="I14" s="4">
        <f t="shared" si="2"/>
        <v>3.2479895295204328E-2</v>
      </c>
      <c r="J14" s="22">
        <f t="shared" si="9"/>
        <v>9.0044739912646873E-2</v>
      </c>
      <c r="K14">
        <f t="shared" si="10"/>
        <v>0.48999999999999994</v>
      </c>
      <c r="L14">
        <f>$D$3^2*(D14^2/2*(C14-C13)^2+(C14-C13)*SUM(K$7:K13))</f>
        <v>22.715399999999995</v>
      </c>
      <c r="M14" s="12">
        <f t="shared" si="3"/>
        <v>32353886830.6325</v>
      </c>
      <c r="N14" s="12">
        <f t="shared" si="11"/>
        <v>0.88919684163766644</v>
      </c>
      <c r="O14" s="2">
        <f t="shared" si="4"/>
        <v>7.4741985128228602E+19</v>
      </c>
      <c r="P14" s="3">
        <f t="shared" si="5"/>
        <v>453370317.93256313</v>
      </c>
      <c r="Q14" s="3">
        <f t="shared" si="6"/>
        <v>58759658.017805591</v>
      </c>
      <c r="R14" s="4">
        <f t="shared" si="12"/>
        <v>1.8381560620960281E-2</v>
      </c>
      <c r="S14" s="11">
        <f t="shared" si="13"/>
        <v>2.2459289519662792E-2</v>
      </c>
      <c r="T14" s="16">
        <f t="shared" si="7"/>
        <v>1.1134079234060802E-2</v>
      </c>
      <c r="U14" s="11">
        <f t="shared" si="8"/>
        <v>11.156013715393591</v>
      </c>
      <c r="V14" s="22">
        <f t="shared" si="14"/>
        <v>6.0147011192149297E-2</v>
      </c>
      <c r="W14" s="19">
        <f t="shared" si="15"/>
        <v>5.1974929374683877E-2</v>
      </c>
      <c r="X14">
        <f t="shared" si="16"/>
        <v>0.99999999996909184</v>
      </c>
      <c r="Y14" s="19">
        <f t="shared" si="17"/>
        <v>5.3972892549813134E-2</v>
      </c>
      <c r="Z14" s="17">
        <f t="shared" si="18"/>
        <v>1.9979631751292568E-3</v>
      </c>
      <c r="AA14">
        <f t="shared" si="19"/>
        <v>7.5140000000000002</v>
      </c>
      <c r="AH14">
        <f t="shared" si="20"/>
        <v>-0.18458824007004182</v>
      </c>
      <c r="AI14">
        <f t="shared" si="21"/>
        <v>5.8838327331377366E-3</v>
      </c>
    </row>
    <row r="15" spans="1:35" x14ac:dyDescent="0.25">
      <c r="A15">
        <v>8</v>
      </c>
      <c r="B15">
        <v>9</v>
      </c>
      <c r="C15">
        <v>12</v>
      </c>
      <c r="D15">
        <v>0.8</v>
      </c>
      <c r="E15">
        <v>0.52</v>
      </c>
      <c r="F15">
        <v>0.1</v>
      </c>
      <c r="G15" s="2">
        <f t="shared" si="22"/>
        <v>0.11080315836233387</v>
      </c>
      <c r="H15" s="3">
        <f t="shared" si="0"/>
        <v>0.37713283275058884</v>
      </c>
      <c r="I15" s="4">
        <f t="shared" si="2"/>
        <v>5.328667645801681E-2</v>
      </c>
      <c r="J15" s="22">
        <f t="shared" si="9"/>
        <v>0.14772784452848717</v>
      </c>
      <c r="K15">
        <f t="shared" si="10"/>
        <v>0.64000000000000012</v>
      </c>
      <c r="L15">
        <f>$D$3^2*(D15^2/2*(C15-C14)^2+(C15-C14)*SUM(K$7:K14))</f>
        <v>29.2468</v>
      </c>
      <c r="M15" s="12">
        <f t="shared" si="3"/>
        <v>291994265405.62195</v>
      </c>
      <c r="N15" s="12">
        <f t="shared" si="11"/>
        <v>0.8891968416376661</v>
      </c>
      <c r="O15" s="2">
        <f t="shared" si="4"/>
        <v>5.2500675193848044E+21</v>
      </c>
      <c r="P15" s="3">
        <f t="shared" si="5"/>
        <v>4580816784.1321077</v>
      </c>
      <c r="Q15" s="3">
        <f t="shared" si="6"/>
        <v>656335966.3137089</v>
      </c>
      <c r="R15" s="4">
        <f t="shared" si="12"/>
        <v>2.1752435134883674E-2</v>
      </c>
      <c r="S15" s="11">
        <f t="shared" si="13"/>
        <v>2.5293593861377854E-2</v>
      </c>
      <c r="T15" s="16">
        <f t="shared" si="7"/>
        <v>1.2690860225695528E-2</v>
      </c>
      <c r="U15" s="11">
        <f t="shared" si="8"/>
        <v>18.756183609102056</v>
      </c>
      <c r="V15" s="22">
        <f t="shared" si="14"/>
        <v>0.1011228933774099</v>
      </c>
      <c r="W15" s="19">
        <f t="shared" si="15"/>
        <v>5.9736889221957058E-2</v>
      </c>
      <c r="X15">
        <f t="shared" si="16"/>
        <v>0.9999999999965753</v>
      </c>
      <c r="Y15" s="19">
        <f t="shared" si="17"/>
        <v>6.0784132229886281E-2</v>
      </c>
      <c r="Z15" s="17">
        <f t="shared" si="18"/>
        <v>1.047243007929223E-3</v>
      </c>
      <c r="AA15">
        <f t="shared" si="19"/>
        <v>9.6900000000000013</v>
      </c>
      <c r="AH15">
        <f t="shared" si="20"/>
        <v>-0.2376737633962307</v>
      </c>
      <c r="AI15">
        <f t="shared" si="21"/>
        <v>7.6941029920836483E-3</v>
      </c>
    </row>
    <row r="16" spans="1:35" x14ac:dyDescent="0.25">
      <c r="A16">
        <v>9</v>
      </c>
      <c r="B16">
        <v>9.5</v>
      </c>
      <c r="C16">
        <v>13</v>
      </c>
      <c r="D16">
        <v>0.9</v>
      </c>
      <c r="E16">
        <v>0.48</v>
      </c>
      <c r="F16">
        <v>0.1</v>
      </c>
      <c r="G16" s="2">
        <f t="shared" si="22"/>
        <v>0.11080315836233387</v>
      </c>
      <c r="H16" s="3">
        <f>D17^2/$D$2*(1-G17)+G17*H17</f>
        <v>0.44896484549860521</v>
      </c>
      <c r="I16" s="4">
        <f t="shared" si="2"/>
        <v>8.0532873468647362E-2</v>
      </c>
      <c r="J16" s="22">
        <f t="shared" si="9"/>
        <v>0.22326308567174316</v>
      </c>
      <c r="K16">
        <f t="shared" si="10"/>
        <v>0.81</v>
      </c>
      <c r="L16">
        <f>$D$3^2*(D16^2/2*(C16-C15)^2+(C16-C15)*SUM(K$7:K15))</f>
        <v>37.627799999999993</v>
      </c>
      <c r="M16" s="12">
        <f t="shared" si="3"/>
        <v>2635252187043.0859</v>
      </c>
      <c r="N16" s="12">
        <f t="shared" si="11"/>
        <v>0.8891968416376661</v>
      </c>
      <c r="O16" s="2">
        <f t="shared" si="4"/>
        <v>3.6442761483324883E+23</v>
      </c>
      <c r="P16" s="3">
        <f t="shared" si="5"/>
        <v>44751585416.001038</v>
      </c>
      <c r="Q16" s="3">
        <f t="shared" si="6"/>
        <v>6542750137.3880138</v>
      </c>
      <c r="R16" s="4">
        <f t="shared" si="12"/>
        <v>2.4647624354983206E-2</v>
      </c>
      <c r="S16" s="11">
        <f t="shared" si="13"/>
        <v>2.7276671486604225E-2</v>
      </c>
      <c r="T16" s="16">
        <f t="shared" si="7"/>
        <v>1.3851622455936456E-2</v>
      </c>
      <c r="U16" s="11">
        <f t="shared" si="8"/>
        <v>30.531796493820991</v>
      </c>
      <c r="V16" s="22">
        <f t="shared" si="14"/>
        <v>0.16461043812597057</v>
      </c>
      <c r="W16" s="19">
        <f t="shared" si="15"/>
        <v>6.5775918297523883E-2</v>
      </c>
      <c r="X16">
        <f t="shared" si="16"/>
        <v>0.99999999999962053</v>
      </c>
      <c r="Y16" s="19">
        <f t="shared" si="17"/>
        <v>6.5549752065934233E-2</v>
      </c>
      <c r="Z16" s="17">
        <f t="shared" si="18"/>
        <v>-2.261662315896501E-4</v>
      </c>
      <c r="AA16">
        <f t="shared" si="19"/>
        <v>12.444000000000001</v>
      </c>
      <c r="AH16">
        <f t="shared" si="20"/>
        <v>-0.30560444039335266</v>
      </c>
      <c r="AI16">
        <f t="shared" si="21"/>
        <v>9.7644970230060853E-3</v>
      </c>
    </row>
    <row r="17" spans="1:35" x14ac:dyDescent="0.25">
      <c r="A17">
        <v>10</v>
      </c>
      <c r="B17">
        <v>10</v>
      </c>
      <c r="C17">
        <v>15</v>
      </c>
      <c r="D17">
        <v>1</v>
      </c>
      <c r="E17">
        <v>0.44</v>
      </c>
      <c r="F17">
        <v>0.1</v>
      </c>
      <c r="G17" s="2">
        <f>EXP(-$D$2*(C17-C16))</f>
        <v>1.2277339903068436E-2</v>
      </c>
      <c r="H17" s="3">
        <v>0</v>
      </c>
      <c r="I17" s="4">
        <f t="shared" si="2"/>
        <v>0.13732528706182329</v>
      </c>
      <c r="J17" s="22">
        <f t="shared" si="9"/>
        <v>0.38070996364133014</v>
      </c>
      <c r="K17">
        <f t="shared" si="10"/>
        <v>2</v>
      </c>
      <c r="L17">
        <f>$D$3^2*(D17^2/2*(C17-C16)^2+(C17-C16)*SUM(K$7:K16))</f>
        <v>107.7392</v>
      </c>
      <c r="M17" s="12">
        <f t="shared" si="3"/>
        <v>214643579785916.06</v>
      </c>
      <c r="N17" s="12">
        <f t="shared" si="11"/>
        <v>0.98772266009693155</v>
      </c>
      <c r="O17" s="2">
        <f t="shared" si="4"/>
        <v>2.0272209863406715E+27</v>
      </c>
      <c r="P17" s="3">
        <f t="shared" si="5"/>
        <v>4232860171389.2109</v>
      </c>
      <c r="Q17" s="3">
        <f t="shared" si="6"/>
        <v>68629858382.091148</v>
      </c>
      <c r="R17" s="4">
        <f t="shared" si="12"/>
        <v>2.9712451077622409E-2</v>
      </c>
      <c r="S17" s="11">
        <f t="shared" si="13"/>
        <v>9.0392996955574553E-2</v>
      </c>
      <c r="T17" s="16">
        <f t="shared" si="7"/>
        <v>1.7982104128746283E-2</v>
      </c>
      <c r="U17" s="11">
        <f t="shared" si="8"/>
        <v>107.87728755216195</v>
      </c>
      <c r="V17" s="22">
        <f t="shared" si="14"/>
        <v>0.58161423850039384</v>
      </c>
      <c r="W17" s="19">
        <f t="shared" si="15"/>
        <v>0.13808755216194324</v>
      </c>
      <c r="X17">
        <f t="shared" si="16"/>
        <v>0.99999999999999534</v>
      </c>
      <c r="Y17" s="19">
        <f t="shared" si="17"/>
        <v>0.13599999999997681</v>
      </c>
      <c r="Z17" s="17">
        <f t="shared" si="18"/>
        <v>-2.0875521619664328E-3</v>
      </c>
      <c r="AA17" s="30">
        <f t="shared" si="19"/>
        <v>19.244</v>
      </c>
      <c r="AB17">
        <f>-(F17^2/4+1/AA17)/2</f>
        <v>-2.7232124298482645E-2</v>
      </c>
      <c r="AC17">
        <f>AC19^2*AB17</f>
        <v>-2.723212429848265E-4</v>
      </c>
      <c r="AD17">
        <f>A_z(AC17,C17,D3,D2,E17)</f>
        <v>-1.346745337853132E-2</v>
      </c>
      <c r="AE17">
        <f>B_z(AC17,C17,D3,D2,E17)</f>
        <v>-1.237817090108152E-4</v>
      </c>
      <c r="AF17">
        <f>A_CIR(0,-AC17,C17,D3,D2,E17)</f>
        <v>-1.3467453378780192E-2</v>
      </c>
      <c r="AG17">
        <f>b_CIR(0,-AC17,C17,D3,D2,E17)</f>
        <v>1.237817090108152E-4</v>
      </c>
      <c r="AH17">
        <f>AH16+A_CIR(AI16,-$AB$17*D17^2,C17-C16,$D$3,$D$2,$E$17)</f>
        <v>-0.48193564661758614</v>
      </c>
      <c r="AI17">
        <f t="shared" si="21"/>
        <v>1.2339646176187614E-2</v>
      </c>
    </row>
    <row r="19" spans="1:35" x14ac:dyDescent="0.25">
      <c r="O19" s="14" t="s">
        <v>41</v>
      </c>
      <c r="P19" s="14" t="s">
        <v>42</v>
      </c>
      <c r="Q19" s="14" t="s">
        <v>43</v>
      </c>
      <c r="Z19" t="s">
        <v>38</v>
      </c>
      <c r="AA19">
        <f>(AA17/(C17-C7))^0.5</f>
        <v>1.1326664704728102</v>
      </c>
      <c r="AB19" t="s">
        <v>36</v>
      </c>
      <c r="AC19">
        <v>0.1</v>
      </c>
    </row>
    <row r="20" spans="1:35" x14ac:dyDescent="0.25">
      <c r="O20">
        <f>O7/M7^2</f>
        <v>0</v>
      </c>
      <c r="P20">
        <f>P7/M7</f>
        <v>0</v>
      </c>
      <c r="Q20">
        <f>Q7/M7</f>
        <v>0</v>
      </c>
      <c r="AB20" t="s">
        <v>37</v>
      </c>
      <c r="AC20">
        <f>((AD17+AE17*D3)-(AH17-AI17*D3))*1000000</f>
        <v>510002.13242745597</v>
      </c>
    </row>
    <row r="21" spans="1:35" x14ac:dyDescent="0.25">
      <c r="F21" t="s">
        <v>26</v>
      </c>
      <c r="G21">
        <f>A_z(G2,C17,D3,D2,E17)</f>
        <v>-11.486889252040827</v>
      </c>
      <c r="O21">
        <f t="shared" ref="O21:P30" si="23">O8/M8^2</f>
        <v>0.14366875055955369</v>
      </c>
      <c r="P21">
        <f t="shared" ref="P21:Q30" si="24">P8/M8</f>
        <v>5.227577012749758E-4</v>
      </c>
      <c r="Q21">
        <f t="shared" ref="Q21:Q30" si="25">Q8/M8</f>
        <v>0</v>
      </c>
      <c r="Z21">
        <f>0.1^2+0.2^2</f>
        <v>5.000000000000001E-2</v>
      </c>
    </row>
    <row r="22" spans="1:35" x14ac:dyDescent="0.25">
      <c r="F22" t="s">
        <v>27</v>
      </c>
      <c r="G22">
        <f>B_z(G2,C17,D3,D2,E17)</f>
        <v>-0.10555521083394938</v>
      </c>
      <c r="O22">
        <f t="shared" si="23"/>
        <v>0.13127459576343622</v>
      </c>
      <c r="P22">
        <f t="shared" si="24"/>
        <v>2.3349481581514107E-3</v>
      </c>
      <c r="Q22">
        <f t="shared" si="25"/>
        <v>3.1676626390942336E-5</v>
      </c>
      <c r="Z22">
        <f>SQRT(Z21/2)</f>
        <v>0.15811388300841897</v>
      </c>
    </row>
    <row r="23" spans="1:35" x14ac:dyDescent="0.25">
      <c r="F23" t="s">
        <v>28</v>
      </c>
      <c r="G23">
        <f>A_CIR(0,-G2,C17,D3,D2,E17)</f>
        <v>-11.486889252040783</v>
      </c>
      <c r="O23">
        <f t="shared" si="23"/>
        <v>0.11798339078606408</v>
      </c>
      <c r="P23">
        <f t="shared" si="24"/>
        <v>4.069623272830062E-3</v>
      </c>
      <c r="Q23">
        <f t="shared" si="25"/>
        <v>5.3262547440727063E-4</v>
      </c>
    </row>
    <row r="24" spans="1:35" x14ac:dyDescent="0.25">
      <c r="F24" t="s">
        <v>29</v>
      </c>
      <c r="G24">
        <f>b_CIR(0,-G2,C17,D3,D2,E17)</f>
        <v>0.10555521083394938</v>
      </c>
      <c r="O24">
        <f t="shared" si="23"/>
        <v>0.10509285241432062</v>
      </c>
      <c r="P24">
        <f t="shared" si="24"/>
        <v>7.5064205950007247E-3</v>
      </c>
      <c r="Q24">
        <f t="shared" si="25"/>
        <v>1.1059291070259928E-4</v>
      </c>
    </row>
    <row r="25" spans="1:35" x14ac:dyDescent="0.25">
      <c r="O25">
        <f t="shared" si="23"/>
        <v>9.309271818073335E-2</v>
      </c>
      <c r="P25">
        <f t="shared" si="24"/>
        <v>1.0412513820771843E-2</v>
      </c>
      <c r="Q25">
        <f t="shared" si="25"/>
        <v>1.4617820739859443E-4</v>
      </c>
    </row>
    <row r="26" spans="1:35" x14ac:dyDescent="0.25">
      <c r="O26">
        <f t="shared" si="23"/>
        <v>8.1819881263718003E-2</v>
      </c>
      <c r="P26">
        <f t="shared" si="24"/>
        <v>1.3189537197007417E-2</v>
      </c>
      <c r="Q26">
        <f t="shared" si="25"/>
        <v>1.8652357276275215E-4</v>
      </c>
    </row>
    <row r="27" spans="1:35" x14ac:dyDescent="0.25">
      <c r="O27">
        <f t="shared" si="23"/>
        <v>7.140221826728467E-2</v>
      </c>
      <c r="P27">
        <f t="shared" si="24"/>
        <v>1.4012854786378074E-2</v>
      </c>
      <c r="Q27">
        <f t="shared" si="25"/>
        <v>1.8161545265149483E-3</v>
      </c>
    </row>
    <row r="28" spans="1:35" x14ac:dyDescent="0.25">
      <c r="O28">
        <f t="shared" si="23"/>
        <v>6.157667641491197E-2</v>
      </c>
      <c r="P28">
        <f t="shared" si="24"/>
        <v>1.568803681047878E-2</v>
      </c>
      <c r="Q28">
        <f t="shared" si="25"/>
        <v>2.2477700560384773E-3</v>
      </c>
    </row>
    <row r="29" spans="1:35" x14ac:dyDescent="0.25">
      <c r="O29">
        <f t="shared" si="23"/>
        <v>5.247674798788645E-2</v>
      </c>
      <c r="P29">
        <f t="shared" si="24"/>
        <v>1.6981898596283893E-2</v>
      </c>
      <c r="Q29">
        <f t="shared" si="25"/>
        <v>2.4827795114096382E-3</v>
      </c>
    </row>
    <row r="30" spans="1:35" x14ac:dyDescent="0.25">
      <c r="O30">
        <f t="shared" si="23"/>
        <v>4.4001277726291019E-2</v>
      </c>
      <c r="P30">
        <f t="shared" si="24"/>
        <v>1.9720413606645188E-2</v>
      </c>
      <c r="Q30">
        <f t="shared" si="25"/>
        <v>3.1973869635673271E-4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I24"/>
  <sheetViews>
    <sheetView tabSelected="1" zoomScale="55" zoomScaleNormal="55" workbookViewId="0">
      <selection activeCell="E31" sqref="E31"/>
    </sheetView>
  </sheetViews>
  <sheetFormatPr defaultColWidth="11.42578125" defaultRowHeight="15" x14ac:dyDescent="0.25"/>
  <cols>
    <col min="7" max="7" width="21.7109375" bestFit="1" customWidth="1"/>
    <col min="9" max="9" width="21.5703125" bestFit="1" customWidth="1"/>
    <col min="11" max="11" width="24" customWidth="1"/>
    <col min="13" max="13" width="26" bestFit="1" customWidth="1"/>
    <col min="14" max="14" width="21.85546875" bestFit="1" customWidth="1"/>
    <col min="15" max="15" width="15.42578125" customWidth="1"/>
    <col min="16" max="16" width="18" customWidth="1"/>
    <col min="17" max="17" width="19.28515625" customWidth="1"/>
    <col min="19" max="19" width="14" customWidth="1"/>
    <col min="21" max="21" width="15.7109375" customWidth="1"/>
    <col min="23" max="23" width="23" customWidth="1"/>
    <col min="24" max="24" width="15.140625" bestFit="1" customWidth="1"/>
    <col min="26" max="26" width="13.85546875" customWidth="1"/>
    <col min="28" max="28" width="16.28515625" bestFit="1" customWidth="1"/>
    <col min="29" max="29" width="12.7109375" bestFit="1" customWidth="1"/>
  </cols>
  <sheetData>
    <row r="2" spans="1:35" x14ac:dyDescent="0.25">
      <c r="C2" t="s">
        <v>0</v>
      </c>
      <c r="D2">
        <v>2.2000000000000002</v>
      </c>
      <c r="F2" t="s">
        <v>25</v>
      </c>
      <c r="G2">
        <v>-0.23330000000000001</v>
      </c>
    </row>
    <row r="3" spans="1:35" x14ac:dyDescent="0.25">
      <c r="C3" t="s">
        <v>11</v>
      </c>
      <c r="D3">
        <v>3.4</v>
      </c>
    </row>
    <row r="5" spans="1:35" x14ac:dyDescent="0.25">
      <c r="G5" s="5" t="s">
        <v>8</v>
      </c>
      <c r="H5" s="6"/>
      <c r="I5" s="6"/>
      <c r="J5" s="7"/>
      <c r="K5" s="5" t="s">
        <v>22</v>
      </c>
      <c r="L5" s="6"/>
      <c r="M5" s="6"/>
      <c r="N5" s="6"/>
      <c r="O5" s="6"/>
      <c r="P5" s="6"/>
      <c r="Q5" s="6"/>
      <c r="R5" s="6"/>
      <c r="S5" s="6"/>
      <c r="T5" s="6"/>
      <c r="U5" s="6"/>
      <c r="V5" s="7"/>
      <c r="W5" s="23"/>
      <c r="X5" s="24"/>
      <c r="Y5" s="24"/>
      <c r="Z5" s="25"/>
    </row>
    <row r="6" spans="1:35" x14ac:dyDescent="0.25">
      <c r="C6" s="1" t="s">
        <v>1</v>
      </c>
      <c r="D6" s="1" t="s">
        <v>2</v>
      </c>
      <c r="E6" s="1" t="s">
        <v>7</v>
      </c>
      <c r="F6" s="1" t="s">
        <v>9</v>
      </c>
      <c r="G6" s="8" t="s">
        <v>4</v>
      </c>
      <c r="H6" s="9" t="s">
        <v>3</v>
      </c>
      <c r="I6" s="9" t="s">
        <v>5</v>
      </c>
      <c r="J6" s="10" t="s">
        <v>6</v>
      </c>
      <c r="K6" s="13" t="s">
        <v>39</v>
      </c>
      <c r="L6" s="14" t="s">
        <v>12</v>
      </c>
      <c r="M6" s="14" t="s">
        <v>40</v>
      </c>
      <c r="N6" s="14"/>
      <c r="O6" s="14" t="s">
        <v>13</v>
      </c>
      <c r="P6" s="14" t="s">
        <v>15</v>
      </c>
      <c r="Q6" s="14" t="s">
        <v>16</v>
      </c>
      <c r="R6" s="14" t="s">
        <v>17</v>
      </c>
      <c r="S6" s="14" t="s">
        <v>19</v>
      </c>
      <c r="T6" s="14" t="s">
        <v>20</v>
      </c>
      <c r="U6" s="14" t="s">
        <v>21</v>
      </c>
      <c r="V6" s="15" t="s">
        <v>6</v>
      </c>
      <c r="W6" s="26" t="s">
        <v>24</v>
      </c>
      <c r="X6" s="27" t="s">
        <v>23</v>
      </c>
      <c r="Y6" s="27" t="s">
        <v>30</v>
      </c>
      <c r="Z6" s="28" t="s">
        <v>30</v>
      </c>
      <c r="AA6" s="29" t="s">
        <v>31</v>
      </c>
      <c r="AB6" s="29" t="s">
        <v>32</v>
      </c>
      <c r="AC6" s="29" t="s">
        <v>33</v>
      </c>
      <c r="AD6" s="29" t="s">
        <v>26</v>
      </c>
      <c r="AE6" s="29" t="s">
        <v>27</v>
      </c>
      <c r="AF6" s="29" t="s">
        <v>34</v>
      </c>
      <c r="AG6" s="29" t="s">
        <v>35</v>
      </c>
      <c r="AH6" s="29" t="s">
        <v>34</v>
      </c>
      <c r="AI6" s="29" t="s">
        <v>35</v>
      </c>
    </row>
    <row r="7" spans="1:35" x14ac:dyDescent="0.25">
      <c r="A7">
        <v>0</v>
      </c>
      <c r="B7">
        <v>0</v>
      </c>
      <c r="C7">
        <v>0</v>
      </c>
      <c r="H7" s="3">
        <f t="shared" ref="H7:H15" si="0">D8^2/$D$2*(1-G8)+G8*H8</f>
        <v>6.0921970740506481E-3</v>
      </c>
      <c r="I7" s="17"/>
      <c r="K7">
        <v>0</v>
      </c>
      <c r="O7" s="31">
        <v>0</v>
      </c>
      <c r="P7" s="31">
        <v>0</v>
      </c>
      <c r="Q7" s="31">
        <v>0</v>
      </c>
      <c r="U7" s="18"/>
      <c r="X7" t="e">
        <f>1-1/M7</f>
        <v>#DIV/0!</v>
      </c>
      <c r="AA7">
        <v>0</v>
      </c>
      <c r="AB7" s="21"/>
      <c r="AH7">
        <v>0</v>
      </c>
      <c r="AI7">
        <v>0</v>
      </c>
    </row>
    <row r="8" spans="1:35" x14ac:dyDescent="0.25">
      <c r="A8">
        <v>1</v>
      </c>
      <c r="B8">
        <v>1</v>
      </c>
      <c r="C8">
        <v>1</v>
      </c>
      <c r="D8">
        <v>0.1</v>
      </c>
      <c r="E8">
        <v>0.8</v>
      </c>
      <c r="F8">
        <v>0.1</v>
      </c>
      <c r="G8" s="2">
        <f t="shared" ref="G8:G16" si="1">EXP(-$D$2*(C8-C7))</f>
        <v>0.11080315836233387</v>
      </c>
      <c r="H8" s="3">
        <f t="shared" si="0"/>
        <v>1.8504826746183239E-2</v>
      </c>
      <c r="I8" s="4">
        <f t="shared" ref="I8:I17" si="2">0.5*(1/2/$D$2*(H8^2-H7^2)+D8^2/$D$2^2*(H8-H7)+D8^4/$D$2^2*(C8-C7))</f>
        <v>5.7848287108495038E-5</v>
      </c>
      <c r="J8" s="22">
        <f>I8/SUM($I$8:$I$17)</f>
        <v>1.603740997233344E-4</v>
      </c>
      <c r="K8">
        <f>D8*D8*(C8-C7)</f>
        <v>1.0000000000000002E-2</v>
      </c>
      <c r="L8">
        <f>$D$3^2*(D8^2/2*(C8-C7)^2+(C8-C7)*SUM(K$7:K7))</f>
        <v>5.7800000000000004E-2</v>
      </c>
      <c r="M8" s="12">
        <f>EXP(-$D$2*(C8-C7))</f>
        <v>0.11080315836233387</v>
      </c>
      <c r="N8" s="12"/>
      <c r="O8" s="31">
        <f>M8^2*O7+E8^2/2/$D$2*(1-M8^2)</f>
        <v>0.14366875055955369</v>
      </c>
      <c r="P8" s="31">
        <f>M8*P7+D8^2*E8^2/2/$D$2^2*(1-M8)^2</f>
        <v>5.227577012749758E-4</v>
      </c>
      <c r="Q8" s="31">
        <f>M8*(Q7+D8^2*O7/$D$2*(1-M8))</f>
        <v>0</v>
      </c>
      <c r="R8" s="4">
        <f>$D$3/$D$2*(P7+Q7)*(1-M8)</f>
        <v>0</v>
      </c>
      <c r="S8" s="11">
        <f>$D$3*D8^2*E8^2/2/$D$2^2*((C8-C7)-1/$D$2*(1-M8)-1/2/$D$2*(1-M8)^2)</f>
        <v>9.354139741633823E-4</v>
      </c>
      <c r="T8" s="16">
        <f>$D$3*D8^2/2/$D$2^2*O7*(1-M8)^2</f>
        <v>0</v>
      </c>
      <c r="U8" s="11">
        <f>D8^2*(L8+R8+S8+T8)</f>
        <v>5.8735413974163396E-4</v>
      </c>
      <c r="V8" s="22">
        <f>U8/SUM($U$8:$U$17)</f>
        <v>3.166686319867876E-6</v>
      </c>
      <c r="W8" s="19">
        <f>R8+S8+T8</f>
        <v>9.354139741633823E-4</v>
      </c>
      <c r="X8">
        <f>1-1/M8</f>
        <v>-8.025013499434122</v>
      </c>
      <c r="Y8" s="19" t="e">
        <f>$D$3*E8^2*D8^2/2/$D$2^2*((C8-C7)-(X8-X7)/$D$2-(X8^2-X7^2)/2/$D$2)</f>
        <v>#DIV/0!</v>
      </c>
      <c r="Z8" s="17" t="e">
        <f>Y8-W8</f>
        <v>#DIV/0!</v>
      </c>
      <c r="AA8">
        <f>AA7+$D$3*D8^2*(C8-C7)</f>
        <v>3.4000000000000002E-2</v>
      </c>
      <c r="AH8">
        <f>AH7+A_CIR(AI7,-$AB$17*D8^2,C8-C7,$D$3,$D$2,$E$17)</f>
        <v>-5.5166380010973626E-4</v>
      </c>
      <c r="AI8">
        <f>b_CIR(AI7,-$AB$17*D8^2,C8-C7,$D$3,$D$2,$E$17)</f>
        <v>1.1006656695807015E-4</v>
      </c>
    </row>
    <row r="9" spans="1:35" x14ac:dyDescent="0.25">
      <c r="A9">
        <v>2</v>
      </c>
      <c r="B9">
        <v>4</v>
      </c>
      <c r="C9">
        <v>3</v>
      </c>
      <c r="D9">
        <v>0.2</v>
      </c>
      <c r="E9">
        <v>0.76</v>
      </c>
      <c r="F9">
        <v>0.1</v>
      </c>
      <c r="G9" s="2">
        <f t="shared" si="1"/>
        <v>1.2277339903068436E-2</v>
      </c>
      <c r="H9" s="3">
        <f t="shared" si="0"/>
        <v>4.4491146335576368E-2</v>
      </c>
      <c r="I9" s="4">
        <f t="shared" si="2"/>
        <v>6.2398653118366518E-4</v>
      </c>
      <c r="J9" s="22">
        <f t="shared" ref="J9:J17" si="3">I9/SUM($I$8:$I$17)</f>
        <v>1.7298918114961978E-3</v>
      </c>
      <c r="K9">
        <f t="shared" ref="K9:K17" si="4">D9*D9*(C9-C8)</f>
        <v>8.0000000000000016E-2</v>
      </c>
      <c r="L9">
        <f>$D$3^2*(D9^2/2*(C9-C8)^2+(C9-C8)*SUM(K$7:K8))</f>
        <v>1.1560000000000001</v>
      </c>
      <c r="M9" s="12">
        <f t="shared" ref="M9:M17" si="5">EXP(-$D$2*(C9-C8))</f>
        <v>1.2277339903068436E-2</v>
      </c>
      <c r="N9" s="12"/>
      <c r="O9" s="31">
        <f t="shared" ref="O9:O17" si="6">M9^2*O8+E9^2/2/$D$2*(1-M9^2)</f>
        <v>0.13127459576343625</v>
      </c>
      <c r="P9" s="31">
        <f t="shared" ref="P9:P17" si="7">M9*P8+D9^2*E9^2/2/$D$2^2*(1-M9)^2</f>
        <v>2.3349481581514103E-3</v>
      </c>
      <c r="Q9" s="31">
        <f t="shared" ref="Q9:Q17" si="8">M9*(Q8+D9^2*O8/$D$2*(1-M9))</f>
        <v>3.167662639094233E-5</v>
      </c>
      <c r="R9" s="4">
        <f t="shared" ref="R9:R17" si="9">$D$3/$D$2*(P8+Q8)*(1-M9)</f>
        <v>7.9797942399282673E-4</v>
      </c>
      <c r="S9" s="11">
        <f t="shared" ref="S9:S17" si="10">$D$3*D9^2*E9^2/2/$D$2^2*((C9-C8)-1/$D$2*(1-M9)-1/2/$D$2*(1-M9)^2)</f>
        <v>1.0787395669739642E-2</v>
      </c>
      <c r="T9" s="16">
        <f t="shared" ref="T9:T17" si="11">$D$3*D9^2/2/$D$2^2*O8*(1-M9)^2</f>
        <v>1.9692275391799273E-3</v>
      </c>
      <c r="U9" s="11">
        <f>D9^2*(L9+R9+S9+T9)</f>
        <v>4.678218410531651E-2</v>
      </c>
      <c r="V9" s="22">
        <f t="shared" ref="V9:V17" si="12">U9/SUM($U$8:$U$17)</f>
        <v>2.5222347540618706E-4</v>
      </c>
      <c r="W9" s="20">
        <f t="shared" ref="W9:W17" si="13">R9+S9+T9</f>
        <v>1.3554602632912395E-2</v>
      </c>
      <c r="X9">
        <f>1-1/M9</f>
        <v>-80.450868664968155</v>
      </c>
      <c r="Y9" s="19">
        <f>$D$3*E9^2*D9^2/2/$D$2^2*((C9-C8)-(X9-X8)/$D$2-(X9^2-X8^2)/2/$D$2)</f>
        <v>-11.534958976086246</v>
      </c>
      <c r="Z9" s="17">
        <f t="shared" ref="Z9:Z17" si="14">Y9-W9</f>
        <v>-11.548513578719158</v>
      </c>
      <c r="AA9">
        <f>AA8+$D$3*D9^2*(C9-C8)</f>
        <v>0.30600000000000005</v>
      </c>
      <c r="AH9">
        <f>AH8+A_CIR(AI8,-$AB$17*D9^2,C9-C8,$D$3,$D$2,$E$17)</f>
        <v>-6.6655784914075866E-3</v>
      </c>
      <c r="AI9">
        <f>b_CIR(AI8,-$AB$17*D9^2,C9-C8,$D$3,$D$2,$E$17)</f>
        <v>4.9039215705190802E-4</v>
      </c>
    </row>
    <row r="10" spans="1:35" x14ac:dyDescent="0.25">
      <c r="A10">
        <v>3</v>
      </c>
      <c r="B10">
        <v>6.5</v>
      </c>
      <c r="C10">
        <v>4</v>
      </c>
      <c r="D10">
        <v>0.3</v>
      </c>
      <c r="E10">
        <v>0.72</v>
      </c>
      <c r="F10">
        <v>0.1</v>
      </c>
      <c r="G10" s="2">
        <f t="shared" si="1"/>
        <v>0.11080315836233387</v>
      </c>
      <c r="H10" s="3">
        <f t="shared" si="0"/>
        <v>7.3237189488843529E-2</v>
      </c>
      <c r="I10" s="4">
        <f t="shared" si="2"/>
        <v>1.4886146785084973E-3</v>
      </c>
      <c r="J10" s="22">
        <f t="shared" si="3"/>
        <v>4.1269197556876806E-3</v>
      </c>
      <c r="K10">
        <f t="shared" si="4"/>
        <v>0.09</v>
      </c>
      <c r="L10">
        <f>$D$3^2*(D10^2/2*(C10-C9)^2+(C10-C9)*SUM(K$7:K9))</f>
        <v>1.5606</v>
      </c>
      <c r="M10" s="12">
        <f t="shared" si="5"/>
        <v>0.11080315836233387</v>
      </c>
      <c r="N10" s="12"/>
      <c r="O10" s="31">
        <f t="shared" si="6"/>
        <v>0.1179833907860641</v>
      </c>
      <c r="P10" s="31">
        <f t="shared" si="7"/>
        <v>4.069623272830062E-3</v>
      </c>
      <c r="Q10" s="31">
        <f t="shared" si="8"/>
        <v>5.3262547440727074E-4</v>
      </c>
      <c r="R10" s="4">
        <f t="shared" si="9"/>
        <v>3.2522472567145621E-3</v>
      </c>
      <c r="S10" s="11">
        <f t="shared" si="10"/>
        <v>6.8191678716510544E-3</v>
      </c>
      <c r="T10" s="16">
        <f t="shared" si="11"/>
        <v>3.2811235329111323E-3</v>
      </c>
      <c r="U10" s="11">
        <f>D10^2*(L10+R10+S10+T10)</f>
        <v>0.14165572847951491</v>
      </c>
      <c r="V10" s="22">
        <f t="shared" si="12"/>
        <v>7.6372877478027095E-4</v>
      </c>
      <c r="W10" s="19">
        <f t="shared" si="13"/>
        <v>1.3352538661276749E-2</v>
      </c>
      <c r="X10">
        <f>1-1/M10</f>
        <v>-8.025013499434122</v>
      </c>
      <c r="Y10" s="19">
        <f>$D$3*E10^2*D10^2/2/$D$2^2*((C10-C9)-(X10-X9)/$D$2-(X10^2-X9^2)/2/$D$2)</f>
        <v>23.342749830855322</v>
      </c>
      <c r="Z10" s="17">
        <f t="shared" si="14"/>
        <v>23.329397292194045</v>
      </c>
      <c r="AA10">
        <f>AA9+$D$3*D10^2*(C10-C9)</f>
        <v>0.6120000000000001</v>
      </c>
      <c r="AH10">
        <f>AH9+A_CIR(AI9,-$AB$17*D10^2,C10-C9,$D$3,$D$2,$E$17)</f>
        <v>-1.3113016592228632E-2</v>
      </c>
      <c r="AI10">
        <f>b_CIR(AI9,-$AB$17*D10^2,C10-C9,$D$3,$D$2,$E$17)</f>
        <v>1.0449037998339953E-3</v>
      </c>
    </row>
    <row r="11" spans="1:35" x14ac:dyDescent="0.25">
      <c r="A11">
        <v>4</v>
      </c>
      <c r="B11">
        <v>7</v>
      </c>
      <c r="C11">
        <v>6</v>
      </c>
      <c r="D11">
        <v>0.4</v>
      </c>
      <c r="E11">
        <v>0.68</v>
      </c>
      <c r="F11">
        <v>0.1</v>
      </c>
      <c r="G11" s="2">
        <f t="shared" si="1"/>
        <v>1.2277339903068436E-2</v>
      </c>
      <c r="H11" s="3">
        <f t="shared" si="0"/>
        <v>0.11426043590404103</v>
      </c>
      <c r="I11" s="4">
        <f t="shared" si="2"/>
        <v>6.84139016984132E-3</v>
      </c>
      <c r="J11" s="22">
        <f t="shared" si="3"/>
        <v>1.8966538927705778E-2</v>
      </c>
      <c r="K11">
        <f t="shared" si="4"/>
        <v>0.32000000000000006</v>
      </c>
      <c r="L11">
        <f>$D$3^2*(D11^2/2*(C11-C10)^2+(C11-C10)*SUM(K$7:K10))</f>
        <v>7.8608000000000011</v>
      </c>
      <c r="M11" s="12">
        <f t="shared" si="5"/>
        <v>1.2277339903068436E-2</v>
      </c>
      <c r="N11" s="12"/>
      <c r="O11" s="31">
        <f t="shared" si="6"/>
        <v>0.10509285241432061</v>
      </c>
      <c r="P11" s="31">
        <f t="shared" si="7"/>
        <v>7.5064205950007247E-3</v>
      </c>
      <c r="Q11" s="31">
        <f t="shared" si="8"/>
        <v>1.1059291070259928E-4</v>
      </c>
      <c r="R11" s="4">
        <f t="shared" si="9"/>
        <v>7.0252428523484983E-3</v>
      </c>
      <c r="S11" s="11">
        <f t="shared" si="10"/>
        <v>3.4543571729138585E-2</v>
      </c>
      <c r="T11" s="16">
        <f t="shared" si="11"/>
        <v>6.4686618738411467E-3</v>
      </c>
      <c r="U11" s="11">
        <f>D11^2*(L11+R11+S11+T11)</f>
        <v>1.265413996232853</v>
      </c>
      <c r="V11" s="22">
        <f t="shared" si="12"/>
        <v>6.8224073343598019E-3</v>
      </c>
      <c r="W11" s="19">
        <f t="shared" si="13"/>
        <v>4.8037476455328229E-2</v>
      </c>
      <c r="X11">
        <f>1-1/M11</f>
        <v>-80.450868664968155</v>
      </c>
      <c r="Y11" s="19">
        <f>$D$3*E11^2*D11^2/2/$D$2^2*((C11-C10)-(X11-X10)/$D$2-(X11^2-X10^2)/2/$D$2)</f>
        <v>-36.937430959434074</v>
      </c>
      <c r="Z11" s="17">
        <f t="shared" si="14"/>
        <v>-36.985468435889402</v>
      </c>
      <c r="AA11">
        <f>AA10+$D$3*D11^2*(C11-C10)</f>
        <v>1.7000000000000002</v>
      </c>
      <c r="AH11">
        <f>AH10+A_CIR(AI10,-$AB$17*D11^2,C11-C10,$D$3,$D$2,$E$17)</f>
        <v>-3.9597986044668687E-2</v>
      </c>
      <c r="AI11">
        <f>b_CIR(AI10,-$AB$17*D11^2,C11-C10,$D$3,$D$2,$E$17)</f>
        <v>1.9688691728899127E-3</v>
      </c>
    </row>
    <row r="12" spans="1:35" x14ac:dyDescent="0.25">
      <c r="A12">
        <v>5</v>
      </c>
      <c r="B12">
        <v>7.5</v>
      </c>
      <c r="C12">
        <v>8</v>
      </c>
      <c r="D12">
        <v>0.5</v>
      </c>
      <c r="E12">
        <v>0.64</v>
      </c>
      <c r="F12">
        <v>0.1</v>
      </c>
      <c r="G12" s="2">
        <f t="shared" si="1"/>
        <v>1.2277339903068436E-2</v>
      </c>
      <c r="H12" s="3">
        <f t="shared" si="0"/>
        <v>0.16446759194840446</v>
      </c>
      <c r="I12" s="4">
        <f t="shared" si="2"/>
        <v>1.5800138921306692E-2</v>
      </c>
      <c r="J12" s="22">
        <f t="shared" si="3"/>
        <v>4.3803078391167573E-2</v>
      </c>
      <c r="K12">
        <f t="shared" si="4"/>
        <v>0.5</v>
      </c>
      <c r="L12">
        <f>$D$3^2*(D12^2/2*(C12-C11)^2+(C12-C11)*SUM(K$7:K11))</f>
        <v>17.34</v>
      </c>
      <c r="M12" s="12">
        <f t="shared" si="5"/>
        <v>1.2277339903068436E-2</v>
      </c>
      <c r="N12" s="12"/>
      <c r="O12" s="31">
        <f t="shared" si="6"/>
        <v>9.3092718180733336E-2</v>
      </c>
      <c r="P12" s="31">
        <f t="shared" si="7"/>
        <v>1.0412513820771845E-2</v>
      </c>
      <c r="Q12" s="31">
        <f t="shared" si="8"/>
        <v>1.4617820739859443E-4</v>
      </c>
      <c r="R12" s="4">
        <f t="shared" si="9"/>
        <v>1.1627222391946197E-2</v>
      </c>
      <c r="S12" s="11">
        <f t="shared" si="10"/>
        <v>4.7811171943444399E-2</v>
      </c>
      <c r="T12" s="16">
        <f t="shared" si="11"/>
        <v>9.0029903136219086E-3</v>
      </c>
      <c r="U12" s="11">
        <f>D12^2*(L12+R12+S12+T12)</f>
        <v>4.3521103461622532</v>
      </c>
      <c r="V12" s="22">
        <f t="shared" si="12"/>
        <v>2.3464154524917104E-2</v>
      </c>
      <c r="W12" s="19">
        <f t="shared" si="13"/>
        <v>6.8441384649012504E-2</v>
      </c>
      <c r="X12">
        <f>1-1/M12</f>
        <v>-80.450868664968155</v>
      </c>
      <c r="Y12" s="19">
        <f>$D$3*E12^2*D12^2/2/$D$2^2*((C12-C11)-(X12-X11)/$D$2-(X12^2-X11^2)/2/$D$2)</f>
        <v>7.193388429752065E-2</v>
      </c>
      <c r="Z12" s="17">
        <f t="shared" si="14"/>
        <v>3.4924996485081461E-3</v>
      </c>
      <c r="AA12">
        <f>AA11+$D$3*D12^2*(C12-C11)</f>
        <v>3.4000000000000004</v>
      </c>
      <c r="AH12">
        <f>AH11+A_CIR(AI11,-$AB$17*D12^2,C12-C11,$D$3,$D$2,$E$17)</f>
        <v>-8.2108232550410776E-2</v>
      </c>
      <c r="AI12">
        <f>b_CIR(AI11,-$AB$17*D12^2,C12-C11,$D$3,$D$2,$E$17)</f>
        <v>3.0803388917684665E-3</v>
      </c>
    </row>
    <row r="13" spans="1:35" x14ac:dyDescent="0.25">
      <c r="A13">
        <v>6</v>
      </c>
      <c r="B13">
        <v>8</v>
      </c>
      <c r="C13">
        <v>10</v>
      </c>
      <c r="D13">
        <v>0.6</v>
      </c>
      <c r="E13">
        <v>0.6</v>
      </c>
      <c r="F13">
        <v>0.1</v>
      </c>
      <c r="G13" s="2">
        <f t="shared" si="1"/>
        <v>1.2277339903068436E-2</v>
      </c>
      <c r="H13" s="3">
        <f t="shared" si="0"/>
        <v>0.23134063171100705</v>
      </c>
      <c r="I13" s="4">
        <f t="shared" si="2"/>
        <v>3.2271702820412383E-2</v>
      </c>
      <c r="J13" s="22">
        <f t="shared" si="3"/>
        <v>8.9467563260012192E-2</v>
      </c>
      <c r="K13">
        <f t="shared" si="4"/>
        <v>0.72</v>
      </c>
      <c r="L13">
        <f>$D$3^2*(D13^2/2*(C13-C12)^2+(C13-C12)*SUM(K$7:K12))</f>
        <v>31.443199999999994</v>
      </c>
      <c r="M13" s="12">
        <f t="shared" si="5"/>
        <v>1.2277339903068436E-2</v>
      </c>
      <c r="N13" s="12"/>
      <c r="O13" s="31">
        <f t="shared" si="6"/>
        <v>8.1819881263718003E-2</v>
      </c>
      <c r="P13" s="31">
        <f t="shared" si="7"/>
        <v>1.3189537197007415E-2</v>
      </c>
      <c r="Q13" s="31">
        <f t="shared" si="8"/>
        <v>1.8652357276275174E-4</v>
      </c>
      <c r="R13" s="4">
        <f t="shared" si="9"/>
        <v>1.6117637219322644E-2</v>
      </c>
      <c r="S13" s="11">
        <f t="shared" si="10"/>
        <v>6.0511014490921812E-2</v>
      </c>
      <c r="T13" s="16">
        <f t="shared" si="11"/>
        <v>1.1483963580261188E-2</v>
      </c>
      <c r="U13" s="11">
        <f>D13^2*(L13+R13+S13+T13)</f>
        <v>11.35127254150458</v>
      </c>
      <c r="V13" s="22">
        <f t="shared" si="12"/>
        <v>6.1199738008293161E-2</v>
      </c>
      <c r="W13" s="19">
        <f t="shared" si="13"/>
        <v>8.8112615290505639E-2</v>
      </c>
      <c r="X13">
        <f>1-1/M13</f>
        <v>-80.450868664968155</v>
      </c>
      <c r="Y13" s="19">
        <f>$D$3*E13^2*D13^2/2/$D$2^2*((C13-C12)-(X13-X12)/$D$2-(X13^2-X12^2)/2/$D$2)</f>
        <v>9.1041322314049572E-2</v>
      </c>
      <c r="Z13" s="17">
        <f t="shared" si="14"/>
        <v>2.9287070235439333E-3</v>
      </c>
      <c r="AA13">
        <f>AA12+$D$3*D13^2*(C13-C12)</f>
        <v>5.8480000000000008</v>
      </c>
      <c r="AH13">
        <f>AH12+A_CIR(AI12,-$AB$17*D13^2,C13-C12,$D$3,$D$2,$E$17)</f>
        <v>-0.14414353255739343</v>
      </c>
      <c r="AI13">
        <f>b_CIR(AI12,-$AB$17*D13^2,C13-C12,$D$3,$D$2,$E$17)</f>
        <v>4.4384397279270725E-3</v>
      </c>
    </row>
    <row r="14" spans="1:35" x14ac:dyDescent="0.25">
      <c r="A14">
        <v>7</v>
      </c>
      <c r="B14">
        <v>8.5</v>
      </c>
      <c r="C14">
        <v>11</v>
      </c>
      <c r="D14">
        <v>0.7</v>
      </c>
      <c r="E14">
        <v>0.56000000000000005</v>
      </c>
      <c r="F14">
        <v>0.1</v>
      </c>
      <c r="G14" s="2">
        <f t="shared" si="1"/>
        <v>0.11080315836233387</v>
      </c>
      <c r="H14" s="3">
        <f t="shared" si="0"/>
        <v>0.3004629538309474</v>
      </c>
      <c r="I14" s="4">
        <f t="shared" si="2"/>
        <v>3.2479895295204328E-2</v>
      </c>
      <c r="J14" s="22">
        <f t="shared" si="3"/>
        <v>9.0044739912646873E-2</v>
      </c>
      <c r="K14">
        <f t="shared" si="4"/>
        <v>0.48999999999999994</v>
      </c>
      <c r="L14">
        <f>$D$3^2*(D14^2/2*(C14-C13)^2+(C14-C13)*SUM(K$7:K13))</f>
        <v>22.715399999999995</v>
      </c>
      <c r="M14" s="12">
        <f t="shared" si="5"/>
        <v>0.11080315836233387</v>
      </c>
      <c r="N14" s="12"/>
      <c r="O14" s="31">
        <f t="shared" si="6"/>
        <v>7.140221826728467E-2</v>
      </c>
      <c r="P14" s="31">
        <f t="shared" si="7"/>
        <v>1.401285478637807E-2</v>
      </c>
      <c r="Q14" s="31">
        <f t="shared" si="8"/>
        <v>1.8161545265149525E-3</v>
      </c>
      <c r="R14" s="4">
        <f t="shared" si="9"/>
        <v>1.8381560620960274E-2</v>
      </c>
      <c r="S14" s="11">
        <f t="shared" si="10"/>
        <v>2.2459289519662803E-2</v>
      </c>
      <c r="T14" s="16">
        <f t="shared" si="11"/>
        <v>1.1134079234060795E-2</v>
      </c>
      <c r="U14" s="11">
        <f>D14^2*(L14+R14+S14+T14)</f>
        <v>11.156013715393591</v>
      </c>
      <c r="V14" s="22">
        <f t="shared" si="12"/>
        <v>6.0147011192149297E-2</v>
      </c>
      <c r="W14" s="19">
        <f t="shared" si="13"/>
        <v>5.1974929374683877E-2</v>
      </c>
      <c r="X14">
        <f>1-1/M14</f>
        <v>-8.025013499434122</v>
      </c>
      <c r="Y14" s="19">
        <f>$D$3*E14^2*D14^2/2/$D$2^2*((C14-C13)-(X14-X13)/$D$2-(X14^2-X13^2)/2/$D$2)</f>
        <v>76.880579346891125</v>
      </c>
      <c r="Z14" s="17">
        <f t="shared" si="14"/>
        <v>76.828604417516445</v>
      </c>
      <c r="AA14">
        <f>AA13+$D$3*D14^2*(C14-C13)</f>
        <v>7.5140000000000002</v>
      </c>
      <c r="AH14">
        <f>AH13+A_CIR(AI13,-$AB$17*D14^2,C14-C13,$D$3,$D$2,$E$17)</f>
        <v>-0.18458824007004182</v>
      </c>
      <c r="AI14">
        <f>b_CIR(AI13,-$AB$17*D14^2,C14-C13,$D$3,$D$2,$E$17)</f>
        <v>5.8838327331377366E-3</v>
      </c>
    </row>
    <row r="15" spans="1:35" x14ac:dyDescent="0.25">
      <c r="A15">
        <v>8</v>
      </c>
      <c r="B15">
        <v>9</v>
      </c>
      <c r="C15">
        <v>12</v>
      </c>
      <c r="D15">
        <v>0.8</v>
      </c>
      <c r="E15">
        <v>0.52</v>
      </c>
      <c r="F15">
        <v>0.1</v>
      </c>
      <c r="G15" s="2">
        <f t="shared" si="1"/>
        <v>0.11080315836233387</v>
      </c>
      <c r="H15" s="3">
        <f t="shared" si="0"/>
        <v>0.37713283275058884</v>
      </c>
      <c r="I15" s="4">
        <f t="shared" si="2"/>
        <v>5.328667645801681E-2</v>
      </c>
      <c r="J15" s="22">
        <f t="shared" si="3"/>
        <v>0.14772784452848717</v>
      </c>
      <c r="K15">
        <f t="shared" si="4"/>
        <v>0.64000000000000012</v>
      </c>
      <c r="L15">
        <f>$D$3^2*(D15^2/2*(C15-C14)^2+(C15-C14)*SUM(K$7:K14))</f>
        <v>29.2468</v>
      </c>
      <c r="M15" s="12">
        <f t="shared" si="5"/>
        <v>0.11080315836233387</v>
      </c>
      <c r="N15" s="12"/>
      <c r="O15" s="31">
        <f t="shared" si="6"/>
        <v>6.1576676414911963E-2</v>
      </c>
      <c r="P15" s="31">
        <f t="shared" si="7"/>
        <v>1.568803681047878E-2</v>
      </c>
      <c r="Q15" s="31">
        <f t="shared" si="8"/>
        <v>2.247770056038476E-3</v>
      </c>
      <c r="R15" s="4">
        <f t="shared" si="9"/>
        <v>2.1752435134883681E-2</v>
      </c>
      <c r="S15" s="11">
        <f t="shared" si="10"/>
        <v>2.5293593861377854E-2</v>
      </c>
      <c r="T15" s="16">
        <f t="shared" si="11"/>
        <v>1.2690860225695533E-2</v>
      </c>
      <c r="U15" s="11">
        <f>D15^2*(L15+R15+S15+T15)</f>
        <v>18.756183609102056</v>
      </c>
      <c r="V15" s="22">
        <f t="shared" si="12"/>
        <v>0.1011228933774099</v>
      </c>
      <c r="W15" s="19">
        <f t="shared" si="13"/>
        <v>5.9736889221957065E-2</v>
      </c>
      <c r="X15">
        <f>1-1/M15</f>
        <v>-8.025013499434122</v>
      </c>
      <c r="Y15" s="19">
        <f>$D$3*E15^2*D15^2/2/$D$2^2*((C15-C14)-(X15-X14)/$D$2-(X15^2-X14^2)/2/$D$2)</f>
        <v>6.0784132231404969E-2</v>
      </c>
      <c r="Z15" s="17">
        <f t="shared" si="14"/>
        <v>1.047243009447904E-3</v>
      </c>
      <c r="AA15">
        <f>AA14+$D$3*D15^2*(C15-C14)</f>
        <v>9.6900000000000013</v>
      </c>
      <c r="AH15">
        <f>AH14+A_CIR(AI14,-$AB$17*D15^2,C15-C14,$D$3,$D$2,$E$17)</f>
        <v>-0.2376737633962307</v>
      </c>
      <c r="AI15">
        <f>b_CIR(AI14,-$AB$17*D15^2,C15-C14,$D$3,$D$2,$E$17)</f>
        <v>7.6941029920836483E-3</v>
      </c>
    </row>
    <row r="16" spans="1:35" x14ac:dyDescent="0.25">
      <c r="A16">
        <v>9</v>
      </c>
      <c r="B16">
        <v>9.5</v>
      </c>
      <c r="C16">
        <v>13</v>
      </c>
      <c r="D16">
        <v>0.9</v>
      </c>
      <c r="E16">
        <v>0.48</v>
      </c>
      <c r="F16">
        <v>0.1</v>
      </c>
      <c r="G16" s="2">
        <f t="shared" si="1"/>
        <v>0.11080315836233387</v>
      </c>
      <c r="H16" s="3">
        <f>D17^2/$D$2*(1-G17)+G17*H17</f>
        <v>0.44896484549860521</v>
      </c>
      <c r="I16" s="4">
        <f t="shared" si="2"/>
        <v>8.0532873468647362E-2</v>
      </c>
      <c r="J16" s="22">
        <f t="shared" si="3"/>
        <v>0.22326308567174316</v>
      </c>
      <c r="K16">
        <f t="shared" si="4"/>
        <v>0.81</v>
      </c>
      <c r="L16">
        <f>$D$3^2*(D16^2/2*(C16-C15)^2+(C16-C15)*SUM(K$7:K15))</f>
        <v>37.627799999999993</v>
      </c>
      <c r="M16" s="12">
        <f t="shared" si="5"/>
        <v>0.11080315836233387</v>
      </c>
      <c r="N16" s="12"/>
      <c r="O16" s="31">
        <f t="shared" si="6"/>
        <v>5.247674798788645E-2</v>
      </c>
      <c r="P16" s="31">
        <f t="shared" si="7"/>
        <v>1.6981898596283889E-2</v>
      </c>
      <c r="Q16" s="31">
        <f t="shared" si="8"/>
        <v>2.4827795114096356E-3</v>
      </c>
      <c r="R16" s="4">
        <f t="shared" si="9"/>
        <v>2.4647624354983199E-2</v>
      </c>
      <c r="S16" s="11">
        <f t="shared" si="10"/>
        <v>2.7276671486604225E-2</v>
      </c>
      <c r="T16" s="16">
        <f t="shared" si="11"/>
        <v>1.3851622455936453E-2</v>
      </c>
      <c r="U16" s="11">
        <f>D16^2*(L16+R16+S16+T16)</f>
        <v>30.531796493820991</v>
      </c>
      <c r="V16" s="22">
        <f t="shared" si="12"/>
        <v>0.16461043812597057</v>
      </c>
      <c r="W16" s="19">
        <f t="shared" si="13"/>
        <v>6.5775918297523869E-2</v>
      </c>
      <c r="X16">
        <f>1-1/M16</f>
        <v>-8.025013499434122</v>
      </c>
      <c r="Y16" s="19">
        <f>$D$3*E16^2*D16^2/2/$D$2^2*((C16-C15)-(X16-X15)/$D$2-(X16^2-X15^2)/2/$D$2)</f>
        <v>6.5549752066115699E-2</v>
      </c>
      <c r="Z16" s="17">
        <f t="shared" si="14"/>
        <v>-2.2616623140817027E-4</v>
      </c>
      <c r="AA16">
        <f>AA15+$D$3*D16^2*(C16-C15)</f>
        <v>12.444000000000001</v>
      </c>
      <c r="AH16">
        <f>AH15+A_CIR(AI15,-$AB$17*D16^2,C16-C15,$D$3,$D$2,$E$17)</f>
        <v>-0.30560444039335266</v>
      </c>
      <c r="AI16">
        <f>b_CIR(AI15,-$AB$17*D16^2,C16-C15,$D$3,$D$2,$E$17)</f>
        <v>9.7644970230060853E-3</v>
      </c>
    </row>
    <row r="17" spans="1:35" x14ac:dyDescent="0.25">
      <c r="A17">
        <v>10</v>
      </c>
      <c r="B17">
        <v>10</v>
      </c>
      <c r="C17">
        <v>15</v>
      </c>
      <c r="D17">
        <v>1</v>
      </c>
      <c r="E17">
        <v>0.44</v>
      </c>
      <c r="F17">
        <v>0.1</v>
      </c>
      <c r="G17" s="2">
        <f>EXP(-$D$2*(C17-C16))</f>
        <v>1.2277339903068436E-2</v>
      </c>
      <c r="H17" s="3">
        <v>0</v>
      </c>
      <c r="I17" s="4">
        <f t="shared" si="2"/>
        <v>0.13732528706182329</v>
      </c>
      <c r="J17" s="22">
        <f t="shared" si="3"/>
        <v>0.38070996364133014</v>
      </c>
      <c r="K17">
        <f t="shared" si="4"/>
        <v>2</v>
      </c>
      <c r="L17">
        <f>$D$3^2*(D17^2/2*(C17-C16)^2+(C17-C16)*SUM(K$7:K16))</f>
        <v>107.7392</v>
      </c>
      <c r="M17" s="12">
        <f t="shared" si="5"/>
        <v>1.2277339903068436E-2</v>
      </c>
      <c r="N17" s="12"/>
      <c r="O17" s="31">
        <f t="shared" si="6"/>
        <v>4.4001277726291019E-2</v>
      </c>
      <c r="P17" s="31">
        <f t="shared" si="7"/>
        <v>1.9720413606645188E-2</v>
      </c>
      <c r="Q17" s="31">
        <f t="shared" si="8"/>
        <v>3.1973869635673206E-4</v>
      </c>
      <c r="R17" s="4">
        <f t="shared" si="9"/>
        <v>2.9712451077622399E-2</v>
      </c>
      <c r="S17" s="11">
        <f t="shared" si="10"/>
        <v>9.0392996955574553E-2</v>
      </c>
      <c r="T17" s="16">
        <f t="shared" si="11"/>
        <v>1.7982104128746283E-2</v>
      </c>
      <c r="U17" s="11">
        <f>D17^2*(L17+R17+S17+T17)</f>
        <v>107.87728755216195</v>
      </c>
      <c r="V17" s="22">
        <f t="shared" si="12"/>
        <v>0.58161423850039384</v>
      </c>
      <c r="W17" s="19">
        <f t="shared" si="13"/>
        <v>0.13808755216194324</v>
      </c>
      <c r="X17">
        <f>1-1/M17</f>
        <v>-80.450868664968155</v>
      </c>
      <c r="Y17" s="19">
        <f>$D$3*E17^2*D17^2/2/$D$2^2*((C17-C16)-(X17-X16)/$D$2-(X17^2-X16^2)/2/$D$2)</f>
        <v>-96.657204716512126</v>
      </c>
      <c r="Z17" s="17">
        <f t="shared" si="14"/>
        <v>-96.795292268674075</v>
      </c>
      <c r="AA17" s="30">
        <f>AA16+$D$3*D17^2*(C17-C16)</f>
        <v>19.244</v>
      </c>
      <c r="AB17">
        <f>-(F17^2/4+1/AA17)/2</f>
        <v>-2.7232124298482645E-2</v>
      </c>
      <c r="AC17">
        <f>AC19^2*AB17</f>
        <v>-2.723212429848265E-4</v>
      </c>
      <c r="AD17">
        <f>A_z(AC17,C17,D3,D2,E17)</f>
        <v>-1.346745337853132E-2</v>
      </c>
      <c r="AE17">
        <f>B_z(AC17,C17,D3,D2,E17)</f>
        <v>-1.237817090108152E-4</v>
      </c>
      <c r="AF17">
        <f>A_CIR(0,-AC17,C17,D3,D2,E17)</f>
        <v>-1.3467453378780192E-2</v>
      </c>
      <c r="AG17">
        <f>b_CIR(0,-AC17,C17,D3,D2,E17)</f>
        <v>1.237817090108152E-4</v>
      </c>
      <c r="AH17">
        <f>AH16+A_CIR(AI16,-$AB$17*D17^2,C17-C16,$D$3,$D$2,$E$17)</f>
        <v>-0.48193564661758614</v>
      </c>
      <c r="AI17">
        <f>b_CIR(AI16,-$AB$17*D17^2,C17-C16,$D$3,$D$2,$E$17)</f>
        <v>1.2339646176187614E-2</v>
      </c>
    </row>
    <row r="19" spans="1:35" x14ac:dyDescent="0.25">
      <c r="Z19" t="s">
        <v>38</v>
      </c>
      <c r="AA19">
        <f>(AA17/(C17-C7))^0.5</f>
        <v>1.1326664704728102</v>
      </c>
      <c r="AB19" t="s">
        <v>36</v>
      </c>
      <c r="AC19">
        <v>0.1</v>
      </c>
    </row>
    <row r="20" spans="1:35" x14ac:dyDescent="0.25">
      <c r="AB20" t="s">
        <v>37</v>
      </c>
      <c r="AC20">
        <f>((AD17+AE17*D3)-(AH17-AI17*D3))*1000000</f>
        <v>510002.13242745597</v>
      </c>
    </row>
    <row r="21" spans="1:35" x14ac:dyDescent="0.25">
      <c r="F21" t="s">
        <v>26</v>
      </c>
      <c r="G21">
        <f>A_z(G2,C17,D3,D2,E17)</f>
        <v>-11.486889252040827</v>
      </c>
      <c r="Z21">
        <f>0.1^2+0.2^2</f>
        <v>5.000000000000001E-2</v>
      </c>
    </row>
    <row r="22" spans="1:35" x14ac:dyDescent="0.25">
      <c r="F22" t="s">
        <v>27</v>
      </c>
      <c r="G22">
        <f>B_z(G2,C17,D3,D2,E17)</f>
        <v>-0.10555521083394938</v>
      </c>
      <c r="Z22">
        <f>SQRT(Z21/2)</f>
        <v>0.15811388300841897</v>
      </c>
    </row>
    <row r="23" spans="1:35" x14ac:dyDescent="0.25">
      <c r="F23" t="s">
        <v>28</v>
      </c>
      <c r="G23">
        <f>A_CIR(0,-G2,C17,D3,D2,E17)</f>
        <v>-11.486889252040783</v>
      </c>
    </row>
    <row r="24" spans="1:35" x14ac:dyDescent="0.25">
      <c r="F24" t="s">
        <v>29</v>
      </c>
      <c r="G24">
        <f>b_CIR(0,-G2,C17,D3,D2,E17)</f>
        <v>0.10555521083394938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defaultColWidth="11.42578125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defaultColWidth="11.42578125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Version0</vt:lpstr>
      <vt:lpstr>Version1</vt:lpstr>
      <vt:lpstr>Tabelle2</vt:lpstr>
      <vt:lpstr>Tabelle3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Schlenkrich Sebastian</cp:lastModifiedBy>
  <dcterms:created xsi:type="dcterms:W3CDTF">2012-07-28T12:15:07Z</dcterms:created>
  <dcterms:modified xsi:type="dcterms:W3CDTF">2013-11-16T15:02:50Z</dcterms:modified>
</cp:coreProperties>
</file>